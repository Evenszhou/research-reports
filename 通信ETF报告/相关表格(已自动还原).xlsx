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\报告\通信ETF报告\"/>
    </mc:Choice>
  </mc:AlternateContent>
  <xr:revisionPtr revIDLastSave="0" documentId="13_ncr:1_{00329814-C9B6-43CF-9356-D7EA843BAB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D26" i="1"/>
  <c r="E26" i="1"/>
  <c r="F26" i="1"/>
  <c r="G26" i="1"/>
  <c r="H26" i="1"/>
  <c r="C26" i="1"/>
  <c r="B46" i="1"/>
  <c r="B45" i="1"/>
  <c r="AA23" i="1"/>
  <c r="AA26" i="1"/>
  <c r="AA29" i="1"/>
  <c r="AA21" i="1"/>
  <c r="AA27" i="1"/>
  <c r="Z27" i="1"/>
  <c r="Z26" i="1"/>
  <c r="Z23" i="1"/>
  <c r="G20" i="1"/>
  <c r="H20" i="1"/>
  <c r="G21" i="1"/>
  <c r="H21" i="1"/>
  <c r="G22" i="1"/>
  <c r="H22" i="1"/>
  <c r="G24" i="1"/>
  <c r="H24" i="1" s="1"/>
  <c r="F21" i="1"/>
  <c r="F22" i="1"/>
  <c r="F24" i="1"/>
  <c r="F20" i="1"/>
  <c r="D23" i="1"/>
  <c r="E23" i="1" s="1"/>
  <c r="F23" i="1" s="1"/>
  <c r="G23" i="1" s="1"/>
  <c r="H23" i="1" s="1"/>
  <c r="M5" i="1"/>
  <c r="G50" i="1"/>
  <c r="G49" i="1"/>
  <c r="G34" i="1"/>
  <c r="C34" i="1"/>
  <c r="D34" i="1"/>
  <c r="E34" i="1"/>
  <c r="F34" i="1"/>
  <c r="B34" i="1"/>
  <c r="G33" i="1"/>
  <c r="B9" i="2"/>
  <c r="B7" i="2"/>
  <c r="V31" i="1"/>
  <c r="W27" i="1"/>
  <c r="X27" i="1"/>
  <c r="Y27" i="1"/>
  <c r="V27" i="1"/>
  <c r="W26" i="1"/>
  <c r="X26" i="1"/>
  <c r="Y26" i="1"/>
  <c r="V26" i="1"/>
  <c r="C24" i="1"/>
  <c r="D24" i="1" s="1"/>
  <c r="E24" i="1" s="1"/>
  <c r="C43" i="1"/>
  <c r="P5" i="1"/>
  <c r="O5" i="1"/>
  <c r="N5" i="1"/>
  <c r="B39" i="1"/>
  <c r="C38" i="1"/>
  <c r="B38" i="1"/>
  <c r="C11" i="2"/>
  <c r="B11" i="2"/>
  <c r="B10" i="2"/>
  <c r="C9" i="2"/>
  <c r="C7" i="2"/>
  <c r="C6" i="2"/>
  <c r="B6" i="2"/>
  <c r="G19" i="1"/>
  <c r="E19" i="1"/>
  <c r="C19" i="1"/>
  <c r="H5" i="1"/>
  <c r="I5" i="1"/>
  <c r="J5" i="1"/>
  <c r="G5" i="1"/>
  <c r="G3" i="1"/>
  <c r="H3" i="1"/>
  <c r="I3" i="1"/>
  <c r="J3" i="1"/>
  <c r="J4" i="1"/>
  <c r="H2" i="1"/>
  <c r="I2" i="1"/>
  <c r="J2" i="1"/>
  <c r="G2" i="1"/>
  <c r="L29" i="1"/>
  <c r="M29" i="1"/>
  <c r="N29" i="1"/>
  <c r="K29" i="1"/>
  <c r="K28" i="1"/>
  <c r="H11" i="1"/>
  <c r="I11" i="1"/>
  <c r="J11" i="1"/>
  <c r="G11" i="1"/>
  <c r="B15" i="1"/>
  <c r="C15" i="1"/>
  <c r="D15" i="1"/>
  <c r="D16" i="1"/>
  <c r="C14" i="1"/>
  <c r="D14" i="1"/>
  <c r="B14" i="1"/>
  <c r="D11" i="1"/>
  <c r="C11" i="1"/>
  <c r="B11" i="1"/>
  <c r="C5" i="1"/>
  <c r="D5" i="1"/>
  <c r="B5" i="1"/>
  <c r="B40" i="1" l="1"/>
</calcChain>
</file>

<file path=xl/sharedStrings.xml><?xml version="1.0" encoding="utf-8"?>
<sst xmlns="http://schemas.openxmlformats.org/spreadsheetml/2006/main" count="242" uniqueCount="128">
  <si>
    <t>中信预测高速光模块出货</t>
    <phoneticPr fontId="2" type="noConversion"/>
  </si>
  <si>
    <t>25E</t>
    <phoneticPr fontId="2" type="noConversion"/>
  </si>
  <si>
    <t>26E</t>
    <phoneticPr fontId="2" type="noConversion"/>
  </si>
  <si>
    <t>27E</t>
    <phoneticPr fontId="2" type="noConversion"/>
  </si>
  <si>
    <t>中信预测高速光模块市场</t>
    <phoneticPr fontId="2" type="noConversion"/>
  </si>
  <si>
    <t>总量（万个）</t>
    <phoneticPr fontId="2" type="noConversion"/>
  </si>
  <si>
    <t>3.2T（万个）</t>
    <phoneticPr fontId="2" type="noConversion"/>
  </si>
  <si>
    <t>1.6T（万个）</t>
    <phoneticPr fontId="2" type="noConversion"/>
  </si>
  <si>
    <t>800G（万个）</t>
    <phoneticPr fontId="2" type="noConversion"/>
  </si>
  <si>
    <t>中信预测单个OM估价</t>
    <phoneticPr fontId="2" type="noConversion"/>
  </si>
  <si>
    <t>800G（亿美元）</t>
    <phoneticPr fontId="2" type="noConversion"/>
  </si>
  <si>
    <t>1.6T（亿美元）</t>
    <phoneticPr fontId="2" type="noConversion"/>
  </si>
  <si>
    <t>3.2T（亿美元）</t>
    <phoneticPr fontId="2" type="noConversion"/>
  </si>
  <si>
    <t>总量（亿美元）</t>
    <phoneticPr fontId="2" type="noConversion"/>
  </si>
  <si>
    <t>高盛预测</t>
    <phoneticPr fontId="2" type="noConversion"/>
  </si>
  <si>
    <t>28E</t>
    <phoneticPr fontId="2" type="noConversion"/>
  </si>
  <si>
    <t>硅光渗透速度（高盛）</t>
    <phoneticPr fontId="2" type="noConversion"/>
  </si>
  <si>
    <t>EML</t>
    <phoneticPr fontId="2" type="noConversion"/>
  </si>
  <si>
    <t>SiPh</t>
    <phoneticPr fontId="2" type="noConversion"/>
  </si>
  <si>
    <t>高盛OM估价</t>
    <phoneticPr fontId="2" type="noConversion"/>
  </si>
  <si>
    <t>800G（美元）</t>
    <phoneticPr fontId="2" type="noConversion"/>
  </si>
  <si>
    <t>1.6T（美元）</t>
    <phoneticPr fontId="2" type="noConversion"/>
  </si>
  <si>
    <t>3.2T（美元）</t>
    <phoneticPr fontId="2" type="noConversion"/>
  </si>
  <si>
    <t>银河</t>
    <phoneticPr fontId="2" type="noConversion"/>
  </si>
  <si>
    <t>29E</t>
    <phoneticPr fontId="2" type="noConversion"/>
  </si>
  <si>
    <t>31E</t>
    <phoneticPr fontId="2" type="noConversion"/>
  </si>
  <si>
    <t>30E</t>
    <phoneticPr fontId="2" type="noConversion"/>
  </si>
  <si>
    <t>高盛</t>
    <phoneticPr fontId="2" type="noConversion"/>
  </si>
  <si>
    <t>LightCounting</t>
    <phoneticPr fontId="2" type="noConversion"/>
  </si>
  <si>
    <t>上限</t>
    <phoneticPr fontId="2" type="noConversion"/>
  </si>
  <si>
    <t>下限</t>
    <phoneticPr fontId="2" type="noConversion"/>
  </si>
  <si>
    <t>大厂AI，DC基建/capex</t>
    <phoneticPr fontId="2" type="noConversion"/>
  </si>
  <si>
    <t>狭义光（光模块）占广义光</t>
    <phoneticPr fontId="2" type="noConversion"/>
  </si>
  <si>
    <t>广义光（模块，线缆，链接，放大etc）占dc基建</t>
    <phoneticPr fontId="2" type="noConversion"/>
  </si>
  <si>
    <t>狭义光占广义基建</t>
    <phoneticPr fontId="2" type="noConversion"/>
  </si>
  <si>
    <t>大厂广义基建/capex</t>
    <phoneticPr fontId="2" type="noConversion"/>
  </si>
  <si>
    <t>狭义光占dc基建</t>
    <phoneticPr fontId="2" type="noConversion"/>
  </si>
  <si>
    <t>新时代的狭义光占DC基建系数</t>
    <phoneticPr fontId="2" type="noConversion"/>
  </si>
  <si>
    <t>新时代的狭义光占DC基建</t>
    <phoneticPr fontId="2" type="noConversion"/>
  </si>
  <si>
    <t>由单个GPU所对应的光模块个数的来。1：2.5→1：3-1：5</t>
    <phoneticPr fontId="2" type="noConversion"/>
  </si>
  <si>
    <t>新时代的狭义光占广义基建均值</t>
    <phoneticPr fontId="2" type="noConversion"/>
  </si>
  <si>
    <t>新时代的狭义光占DC基建均值</t>
    <phoneticPr fontId="2" type="noConversion"/>
  </si>
  <si>
    <t>lumentum</t>
    <phoneticPr fontId="2" type="noConversion"/>
  </si>
  <si>
    <t>Finisar</t>
    <phoneticPr fontId="2" type="noConversion"/>
  </si>
  <si>
    <t>光迅</t>
    <phoneticPr fontId="2" type="noConversion"/>
  </si>
  <si>
    <t>中际旭创</t>
    <phoneticPr fontId="2" type="noConversion"/>
  </si>
  <si>
    <t>新易盛</t>
    <phoneticPr fontId="2" type="noConversion"/>
  </si>
  <si>
    <t>光模块占比</t>
    <phoneticPr fontId="2" type="noConversion"/>
  </si>
  <si>
    <t>光模块营收</t>
    <phoneticPr fontId="2" type="noConversion"/>
  </si>
  <si>
    <t>营收（亿</t>
    <phoneticPr fontId="2" type="noConversion"/>
  </si>
  <si>
    <t>完整市场预测（亿元）</t>
    <phoneticPr fontId="2" type="noConversion"/>
  </si>
  <si>
    <t>rmb</t>
    <phoneticPr fontId="2" type="noConversion"/>
  </si>
  <si>
    <t>usd</t>
    <phoneticPr fontId="2" type="noConversion"/>
  </si>
  <si>
    <t>供给法测算</t>
  </si>
  <si>
    <t>供给法测算</t>
    <phoneticPr fontId="2" type="noConversion"/>
  </si>
  <si>
    <t>LightCounting</t>
  </si>
  <si>
    <t>LightCounting预期增长系数</t>
  </si>
  <si>
    <t>LightCounting预期增长系数</t>
    <phoneticPr fontId="2" type="noConversion"/>
  </si>
  <si>
    <t>谷歌</t>
  </si>
  <si>
    <t>亚马逊</t>
  </si>
  <si>
    <t>微软</t>
  </si>
  <si>
    <t>meta</t>
  </si>
  <si>
    <t>总计</t>
  </si>
  <si>
    <t>总资本开支</t>
  </si>
  <si>
    <t>AI设备对Capex占比系数</t>
  </si>
  <si>
    <t>投向AI基建</t>
  </si>
  <si>
    <t>广义光通信占比</t>
  </si>
  <si>
    <t>狭义光通信占比</t>
  </si>
  <si>
    <t>LightCounting测算系数</t>
  </si>
  <si>
    <t>LightCounting测算占比</t>
  </si>
  <si>
    <t>广义光占AI基建系数</t>
    <phoneticPr fontId="2" type="noConversion"/>
  </si>
  <si>
    <t>狭义光占AI基建系数</t>
    <phoneticPr fontId="2" type="noConversion"/>
  </si>
  <si>
    <t>四大云占全球比例约：</t>
    <phoneticPr fontId="2" type="noConversion"/>
  </si>
  <si>
    <t>全球市场</t>
    <phoneticPr fontId="2" type="noConversion"/>
  </si>
  <si>
    <t>总量</t>
    <phoneticPr fontId="2" type="noConversion"/>
  </si>
  <si>
    <t>全速率CR5情况（乐观）</t>
    <phoneticPr fontId="2" type="noConversion"/>
  </si>
  <si>
    <t>全速率CR5情况（中观）</t>
    <phoneticPr fontId="2" type="noConversion"/>
  </si>
  <si>
    <t>高端市场</t>
    <phoneticPr fontId="2" type="noConversion"/>
  </si>
  <si>
    <t>中+新&gt;70%</t>
    <phoneticPr fontId="2" type="noConversion"/>
  </si>
  <si>
    <t>CR5 &gt; 80%</t>
    <phoneticPr fontId="2" type="noConversion"/>
  </si>
  <si>
    <t>全速率</t>
    <phoneticPr fontId="2" type="noConversion"/>
  </si>
  <si>
    <t>高速率</t>
    <phoneticPr fontId="2" type="noConversion"/>
  </si>
  <si>
    <t>Coherent</t>
    <phoneticPr fontId="2" type="noConversion"/>
  </si>
  <si>
    <t>海思/光迅</t>
    <phoneticPr fontId="2" type="noConversion"/>
  </si>
  <si>
    <t>Lumentum</t>
    <phoneticPr fontId="2" type="noConversion"/>
  </si>
  <si>
    <t>高盛预测高速光模块出货</t>
  </si>
  <si>
    <t>高盛预测高速光模块出货</t>
    <phoneticPr fontId="2" type="noConversion"/>
  </si>
  <si>
    <t>大摩预测出货</t>
  </si>
  <si>
    <t>大摩预测出货</t>
    <phoneticPr fontId="2" type="noConversion"/>
  </si>
  <si>
    <t>中信预测高速光模块出货</t>
  </si>
  <si>
    <t>25E</t>
  </si>
  <si>
    <t>26E</t>
  </si>
  <si>
    <t>27E</t>
  </si>
  <si>
    <t>28E</t>
  </si>
  <si>
    <t>800G（万个）</t>
  </si>
  <si>
    <t>1.6T（万个）</t>
  </si>
  <si>
    <t>3.2T（万个）</t>
  </si>
  <si>
    <t>总量（万个）</t>
  </si>
  <si>
    <t>中信预测出货</t>
    <phoneticPr fontId="2" type="noConversion"/>
  </si>
  <si>
    <t>高盛预测出货</t>
    <phoneticPr fontId="2" type="noConversion"/>
  </si>
  <si>
    <t>大摩</t>
  </si>
  <si>
    <t>大摩</t>
    <phoneticPr fontId="2" type="noConversion"/>
  </si>
  <si>
    <t>需求法测算</t>
  </si>
  <si>
    <t>需求法测算</t>
    <phoneticPr fontId="2" type="noConversion"/>
  </si>
  <si>
    <t>29E</t>
  </si>
  <si>
    <t>30E</t>
  </si>
  <si>
    <t>31E</t>
  </si>
  <si>
    <t>高盛</t>
  </si>
  <si>
    <t>保守</t>
    <phoneticPr fontId="2" type="noConversion"/>
  </si>
  <si>
    <t>中立</t>
    <phoneticPr fontId="2" type="noConversion"/>
  </si>
  <si>
    <t>乐观</t>
    <phoneticPr fontId="2" type="noConversion"/>
  </si>
  <si>
    <t>态度</t>
    <phoneticPr fontId="2" type="noConversion"/>
  </si>
  <si>
    <t>券商</t>
    <phoneticPr fontId="2" type="noConversion"/>
  </si>
  <si>
    <t>其他</t>
  </si>
  <si>
    <t>其他</t>
    <phoneticPr fontId="2" type="noConversion"/>
  </si>
  <si>
    <t>广义光占AI基建系数</t>
  </si>
  <si>
    <t>四大云占全球比例约：</t>
  </si>
  <si>
    <t>投向AI基建份额（亿美元）</t>
    <phoneticPr fontId="2" type="noConversion"/>
  </si>
  <si>
    <t>光模块占比份额（亿美元）</t>
    <phoneticPr fontId="2" type="noConversion"/>
  </si>
  <si>
    <t>广义光通信占比份额（亿美元）</t>
    <phoneticPr fontId="2" type="noConversion"/>
  </si>
  <si>
    <t>LightCounting测算份额（亿美元）</t>
    <phoneticPr fontId="2" type="noConversion"/>
  </si>
  <si>
    <t>光模块占AI基建系数</t>
    <phoneticPr fontId="2" type="noConversion"/>
  </si>
  <si>
    <t>全球市场份额测算（亿美元）</t>
    <phoneticPr fontId="2" type="noConversion"/>
  </si>
  <si>
    <t>-</t>
  </si>
  <si>
    <t>-</t>
    <phoneticPr fontId="2" type="noConversion"/>
  </si>
  <si>
    <t>完整市场预测（亿元）</t>
  </si>
  <si>
    <t>银河</t>
  </si>
  <si>
    <t>LightCounting预期增长系数：CAGR尺度为22%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</si>
</sst>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176" fontId="0" fillId="0" borderId="0" xfId="0" applyNumberFormat="1"/>
    <xf numFmtId="1" fontId="0" fillId="0" borderId="0" xfId="0" applyNumberFormat="1"/>
    <xf numFmtId="9" fontId="0" fillId="0" borderId="0" xfId="1" applyFont="1" applyAlignment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/>
    <xf numFmtId="9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10" fontId="0" fillId="0" borderId="1" xfId="0" applyNumberFormat="1" applyBorder="1"/>
    <xf numFmtId="2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9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77" fontId="0" fillId="0" borderId="1" xfId="1" applyNumberFormat="1" applyFont="1" applyBorder="1" applyAlignment="1"/>
    <xf numFmtId="10" fontId="0" fillId="0" borderId="1" xfId="1" applyNumberFormat="1" applyFont="1" applyBorder="1" applyAlignment="1"/>
    <xf numFmtId="9" fontId="0" fillId="0" borderId="2" xfId="1" applyFont="1" applyBorder="1" applyAlignment="1"/>
    <xf numFmtId="1" fontId="0" fillId="3" borderId="0" xfId="0" applyNumberFormat="1" applyFill="1"/>
    <xf numFmtId="1" fontId="0" fillId="4" borderId="0" xfId="0" applyNumberFormat="1" applyFill="1" applyAlignment="1">
      <alignment wrapText="1"/>
    </xf>
    <xf numFmtId="1" fontId="0" fillId="4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"/>
  <sheetViews>
    <sheetView tabSelected="1" topLeftCell="A10" workbookViewId="0">
      <selection activeCell="A18" sqref="A18:H25"/>
    </sheetView>
  </sheetViews>
  <sheetFormatPr defaultRowHeight="14.25" x14ac:dyDescent="0.2"/>
  <cols>
    <col min="1" max="1" width="22.375" customWidth="1"/>
    <col min="2" max="2" width="21.125" bestFit="1" customWidth="1"/>
    <col min="3" max="4" width="9.125" bestFit="1" customWidth="1"/>
    <col min="5" max="5" width="9.875" bestFit="1" customWidth="1"/>
    <col min="6" max="6" width="12.5" style="4" customWidth="1"/>
    <col min="7" max="7" width="9.125" customWidth="1"/>
    <col min="8" max="8" width="8.375" customWidth="1"/>
    <col min="9" max="9" width="8.875" customWidth="1"/>
    <col min="10" max="10" width="8.625" customWidth="1"/>
    <col min="12" max="12" width="15.75" customWidth="1"/>
    <col min="21" max="21" width="29.875" bestFit="1" customWidth="1"/>
  </cols>
  <sheetData>
    <row r="1" spans="1:16" ht="28.5" x14ac:dyDescent="0.2">
      <c r="A1" t="s">
        <v>0</v>
      </c>
      <c r="B1" t="s">
        <v>1</v>
      </c>
      <c r="C1" t="s">
        <v>2</v>
      </c>
      <c r="D1" t="s">
        <v>3</v>
      </c>
      <c r="F1" s="4" t="s">
        <v>86</v>
      </c>
      <c r="G1" t="s">
        <v>1</v>
      </c>
      <c r="H1" t="s">
        <v>2</v>
      </c>
      <c r="I1" t="s">
        <v>3</v>
      </c>
      <c r="J1" t="s">
        <v>15</v>
      </c>
      <c r="L1" t="s">
        <v>88</v>
      </c>
      <c r="M1" t="s">
        <v>1</v>
      </c>
      <c r="N1" t="s">
        <v>2</v>
      </c>
      <c r="O1" t="s">
        <v>3</v>
      </c>
      <c r="P1" t="s">
        <v>15</v>
      </c>
    </row>
    <row r="2" spans="1:16" x14ac:dyDescent="0.2">
      <c r="A2" t="s">
        <v>8</v>
      </c>
      <c r="B2">
        <v>2170</v>
      </c>
      <c r="C2">
        <v>5800</v>
      </c>
      <c r="D2">
        <v>8100</v>
      </c>
      <c r="F2" s="4" t="s">
        <v>8</v>
      </c>
      <c r="G2" s="2">
        <f t="shared" ref="G2:J3" si="0">G8*10000/G14</f>
        <v>1026.7260579064589</v>
      </c>
      <c r="H2" s="2">
        <f t="shared" si="0"/>
        <v>3635.0974930362117</v>
      </c>
      <c r="I2" s="2">
        <f t="shared" si="0"/>
        <v>5575.5627009646305</v>
      </c>
      <c r="J2" s="2">
        <f t="shared" si="0"/>
        <v>9184.100418410042</v>
      </c>
      <c r="L2" s="4" t="s">
        <v>8</v>
      </c>
      <c r="M2" s="2">
        <v>1800</v>
      </c>
      <c r="N2" s="2">
        <v>4400</v>
      </c>
      <c r="O2" s="2">
        <v>6300</v>
      </c>
      <c r="P2" s="2">
        <v>6400</v>
      </c>
    </row>
    <row r="3" spans="1:16" x14ac:dyDescent="0.2">
      <c r="A3" t="s">
        <v>7</v>
      </c>
      <c r="B3">
        <v>250</v>
      </c>
      <c r="C3">
        <v>2980</v>
      </c>
      <c r="D3">
        <v>7000</v>
      </c>
      <c r="F3" s="4" t="s">
        <v>7</v>
      </c>
      <c r="G3" s="2">
        <f t="shared" si="0"/>
        <v>94.907407407407405</v>
      </c>
      <c r="H3" s="2">
        <f t="shared" si="0"/>
        <v>506.51230101302463</v>
      </c>
      <c r="I3" s="2">
        <f t="shared" si="0"/>
        <v>1235.4892205638475</v>
      </c>
      <c r="J3" s="2">
        <f t="shared" si="0"/>
        <v>2552.4625267665951</v>
      </c>
      <c r="L3" s="4" t="s">
        <v>7</v>
      </c>
      <c r="M3" s="2">
        <v>270</v>
      </c>
      <c r="N3" s="2">
        <v>2900</v>
      </c>
      <c r="O3" s="2">
        <v>7900</v>
      </c>
      <c r="P3" s="2">
        <v>8700</v>
      </c>
    </row>
    <row r="4" spans="1:16" x14ac:dyDescent="0.2">
      <c r="A4" t="s">
        <v>6</v>
      </c>
      <c r="B4">
        <v>0</v>
      </c>
      <c r="C4">
        <v>0</v>
      </c>
      <c r="D4">
        <v>100</v>
      </c>
      <c r="F4" s="4" t="s">
        <v>6</v>
      </c>
      <c r="G4" s="2">
        <v>0</v>
      </c>
      <c r="H4" s="2">
        <v>0</v>
      </c>
      <c r="I4" s="2">
        <v>0</v>
      </c>
      <c r="J4" s="2">
        <f>J10*10000/J16</f>
        <v>215.05376344086022</v>
      </c>
      <c r="L4" s="4" t="s">
        <v>6</v>
      </c>
      <c r="M4" s="2">
        <v>0</v>
      </c>
      <c r="N4" s="2">
        <v>0</v>
      </c>
      <c r="O4" s="2">
        <v>0</v>
      </c>
      <c r="P4" s="2">
        <v>0</v>
      </c>
    </row>
    <row r="5" spans="1:16" x14ac:dyDescent="0.2">
      <c r="A5" t="s">
        <v>5</v>
      </c>
      <c r="B5">
        <f>SUM(B2:B4)</f>
        <v>2420</v>
      </c>
      <c r="C5">
        <f>SUM(C2:C4)</f>
        <v>8780</v>
      </c>
      <c r="D5">
        <f>SUM(D2:D4)</f>
        <v>15200</v>
      </c>
      <c r="F5" s="4" t="s">
        <v>5</v>
      </c>
      <c r="G5" s="2">
        <f>SUM(G2:G4)</f>
        <v>1121.6334653138663</v>
      </c>
      <c r="H5" s="2">
        <f>SUM(H2:H4)</f>
        <v>4141.6097940492364</v>
      </c>
      <c r="I5" s="2">
        <f>SUM(I2:I4)</f>
        <v>6811.0519215284785</v>
      </c>
      <c r="J5" s="2">
        <f>SUM(J2:J4)</f>
        <v>11951.616708617497</v>
      </c>
      <c r="L5" s="4" t="s">
        <v>5</v>
      </c>
      <c r="M5" s="2">
        <f>SUM(M1:M4)</f>
        <v>2070</v>
      </c>
      <c r="N5" s="2">
        <f>SUM(N2:N4)</f>
        <v>7300</v>
      </c>
      <c r="O5" s="2">
        <f>SUM(O2:O4)</f>
        <v>14200</v>
      </c>
      <c r="P5" s="2">
        <f>SUM(P2:P4)</f>
        <v>15100</v>
      </c>
    </row>
    <row r="7" spans="1:16" x14ac:dyDescent="0.2">
      <c r="A7" t="s">
        <v>4</v>
      </c>
      <c r="B7" t="s">
        <v>1</v>
      </c>
      <c r="C7" t="s">
        <v>2</v>
      </c>
      <c r="D7" t="s">
        <v>3</v>
      </c>
      <c r="F7" s="4" t="s">
        <v>14</v>
      </c>
      <c r="G7" t="s">
        <v>1</v>
      </c>
      <c r="H7" t="s">
        <v>2</v>
      </c>
      <c r="I7" t="s">
        <v>3</v>
      </c>
      <c r="J7" t="s">
        <v>15</v>
      </c>
    </row>
    <row r="8" spans="1:16" ht="28.5" x14ac:dyDescent="0.2">
      <c r="A8" t="s">
        <v>10</v>
      </c>
      <c r="B8">
        <v>95</v>
      </c>
      <c r="C8">
        <v>198</v>
      </c>
      <c r="D8">
        <v>224</v>
      </c>
      <c r="F8" s="4" t="s">
        <v>10</v>
      </c>
      <c r="G8">
        <v>46.1</v>
      </c>
      <c r="H8">
        <v>130.5</v>
      </c>
      <c r="I8">
        <v>173.4</v>
      </c>
      <c r="J8">
        <v>219.5</v>
      </c>
    </row>
    <row r="9" spans="1:16" ht="28.5" x14ac:dyDescent="0.2">
      <c r="A9" t="s">
        <v>11</v>
      </c>
      <c r="B9">
        <v>27</v>
      </c>
      <c r="C9">
        <v>256</v>
      </c>
      <c r="D9">
        <v>497</v>
      </c>
      <c r="F9" s="4" t="s">
        <v>11</v>
      </c>
      <c r="G9">
        <v>8.1999999999999993</v>
      </c>
      <c r="H9">
        <v>35</v>
      </c>
      <c r="I9">
        <v>74.5</v>
      </c>
      <c r="J9">
        <v>119.2</v>
      </c>
    </row>
    <row r="10" spans="1:16" ht="28.5" x14ac:dyDescent="0.2">
      <c r="A10" t="s">
        <v>12</v>
      </c>
      <c r="B10">
        <v>0</v>
      </c>
      <c r="C10">
        <v>0</v>
      </c>
      <c r="D10">
        <v>16</v>
      </c>
      <c r="F10" s="4" t="s">
        <v>12</v>
      </c>
      <c r="G10">
        <v>0</v>
      </c>
      <c r="H10">
        <v>0</v>
      </c>
      <c r="I10">
        <v>0</v>
      </c>
      <c r="J10">
        <v>16</v>
      </c>
    </row>
    <row r="11" spans="1:16" ht="28.5" x14ac:dyDescent="0.2">
      <c r="A11" t="s">
        <v>13</v>
      </c>
      <c r="B11">
        <f>SUM(B8:B10)</f>
        <v>122</v>
      </c>
      <c r="C11">
        <f>SUM(C8:C10)</f>
        <v>454</v>
      </c>
      <c r="D11">
        <f>SUM(D8:D10)</f>
        <v>737</v>
      </c>
      <c r="F11" s="4" t="s">
        <v>13</v>
      </c>
      <c r="G11">
        <f>SUM(G8:G10)</f>
        <v>54.3</v>
      </c>
      <c r="H11">
        <f>SUM(H8:H10)</f>
        <v>165.5</v>
      </c>
      <c r="I11">
        <f>SUM(I8:I10)</f>
        <v>247.9</v>
      </c>
      <c r="J11">
        <f>SUM(J8:J10)</f>
        <v>354.7</v>
      </c>
    </row>
    <row r="13" spans="1:16" x14ac:dyDescent="0.2">
      <c r="A13" t="s">
        <v>9</v>
      </c>
      <c r="B13" t="s">
        <v>1</v>
      </c>
      <c r="C13" t="s">
        <v>2</v>
      </c>
      <c r="D13" t="s">
        <v>3</v>
      </c>
      <c r="F13" s="4" t="s">
        <v>19</v>
      </c>
      <c r="G13" t="s">
        <v>1</v>
      </c>
      <c r="H13" t="s">
        <v>2</v>
      </c>
      <c r="I13" t="s">
        <v>3</v>
      </c>
      <c r="J13" t="s">
        <v>15</v>
      </c>
    </row>
    <row r="14" spans="1:16" x14ac:dyDescent="0.2">
      <c r="A14" t="s">
        <v>20</v>
      </c>
      <c r="B14" s="2">
        <f t="shared" ref="B14:D15" si="1">B8*10000/B2</f>
        <v>437.78801843317973</v>
      </c>
      <c r="C14" s="2">
        <f t="shared" si="1"/>
        <v>341.37931034482756</v>
      </c>
      <c r="D14" s="2">
        <f t="shared" si="1"/>
        <v>276.54320987654319</v>
      </c>
      <c r="F14" s="4" t="s">
        <v>20</v>
      </c>
      <c r="G14">
        <v>449</v>
      </c>
      <c r="H14">
        <v>359</v>
      </c>
      <c r="I14">
        <v>311</v>
      </c>
      <c r="J14">
        <v>239</v>
      </c>
    </row>
    <row r="15" spans="1:16" x14ac:dyDescent="0.2">
      <c r="A15" t="s">
        <v>21</v>
      </c>
      <c r="B15" s="2">
        <f t="shared" si="1"/>
        <v>1080</v>
      </c>
      <c r="C15" s="2">
        <f t="shared" si="1"/>
        <v>859.06040268456377</v>
      </c>
      <c r="D15" s="2">
        <f t="shared" si="1"/>
        <v>710</v>
      </c>
      <c r="F15" s="4" t="s">
        <v>21</v>
      </c>
      <c r="G15">
        <v>864</v>
      </c>
      <c r="H15">
        <v>691</v>
      </c>
      <c r="I15">
        <v>603</v>
      </c>
      <c r="J15">
        <v>467</v>
      </c>
    </row>
    <row r="16" spans="1:16" x14ac:dyDescent="0.2">
      <c r="A16" t="s">
        <v>22</v>
      </c>
      <c r="B16" s="2">
        <v>0</v>
      </c>
      <c r="C16" s="2">
        <v>0</v>
      </c>
      <c r="D16" s="2">
        <f>D10*10000/D4</f>
        <v>1600</v>
      </c>
      <c r="F16" s="4" t="s">
        <v>22</v>
      </c>
      <c r="G16">
        <v>0</v>
      </c>
      <c r="H16">
        <v>0</v>
      </c>
      <c r="I16">
        <v>0</v>
      </c>
      <c r="J16">
        <v>744</v>
      </c>
    </row>
    <row r="17" spans="1:27" x14ac:dyDescent="0.2">
      <c r="B17" s="2"/>
      <c r="C17" s="2"/>
      <c r="D17" s="2"/>
    </row>
    <row r="18" spans="1:27" x14ac:dyDescent="0.2">
      <c r="A18" t="s">
        <v>50</v>
      </c>
      <c r="B18" t="s">
        <v>1</v>
      </c>
      <c r="C18" t="s">
        <v>2</v>
      </c>
      <c r="D18" t="s">
        <v>3</v>
      </c>
      <c r="E18" t="s">
        <v>15</v>
      </c>
      <c r="F18" s="4" t="s">
        <v>24</v>
      </c>
      <c r="G18" t="s">
        <v>26</v>
      </c>
      <c r="H18" t="s">
        <v>25</v>
      </c>
    </row>
    <row r="19" spans="1:27" x14ac:dyDescent="0.2">
      <c r="A19" t="s">
        <v>23</v>
      </c>
      <c r="B19" s="2">
        <v>148</v>
      </c>
      <c r="C19" s="2">
        <f>(B19*D19)^0.5</f>
        <v>165.46903033498444</v>
      </c>
      <c r="D19" s="2">
        <v>185</v>
      </c>
      <c r="E19" s="30">
        <f>(D19*F19)^0.5</f>
        <v>206.7244542863761</v>
      </c>
      <c r="F19" s="10">
        <v>231</v>
      </c>
      <c r="G19" s="30">
        <f>(F19*H19)^0.5</f>
        <v>260.603146565808</v>
      </c>
      <c r="H19" s="2">
        <v>294</v>
      </c>
    </row>
    <row r="20" spans="1:27" x14ac:dyDescent="0.2">
      <c r="A20" t="s">
        <v>27</v>
      </c>
      <c r="B20" s="2">
        <v>241</v>
      </c>
      <c r="C20" s="2">
        <v>302</v>
      </c>
      <c r="D20" s="2">
        <v>368</v>
      </c>
      <c r="E20" s="2">
        <v>477</v>
      </c>
      <c r="F20" s="31">
        <f>E20*(1+$F$25)</f>
        <v>548.54999999999995</v>
      </c>
      <c r="G20" s="31">
        <f t="shared" ref="G20:H20" si="2">F20*(1+$F$25)</f>
        <v>630.83249999999987</v>
      </c>
      <c r="H20" s="31">
        <f t="shared" si="2"/>
        <v>725.45737499999984</v>
      </c>
      <c r="U20" s="12"/>
      <c r="V20" s="13" t="s">
        <v>58</v>
      </c>
      <c r="W20" s="13" t="s">
        <v>59</v>
      </c>
      <c r="X20" s="13" t="s">
        <v>60</v>
      </c>
      <c r="Y20" s="13" t="s">
        <v>61</v>
      </c>
      <c r="Z20" s="13" t="s">
        <v>114</v>
      </c>
      <c r="AA20" s="13" t="s">
        <v>62</v>
      </c>
    </row>
    <row r="21" spans="1:27" x14ac:dyDescent="0.2">
      <c r="A21" t="s">
        <v>28</v>
      </c>
      <c r="B21" s="2">
        <v>170</v>
      </c>
      <c r="C21" s="2">
        <v>205</v>
      </c>
      <c r="D21" s="2">
        <v>220</v>
      </c>
      <c r="E21" s="2">
        <v>242</v>
      </c>
      <c r="F21" s="31">
        <f t="shared" ref="F21:H24" si="3">E21*(1+$F$25)</f>
        <v>278.29999999999995</v>
      </c>
      <c r="G21" s="31">
        <f t="shared" si="3"/>
        <v>320.0449999999999</v>
      </c>
      <c r="H21" s="31">
        <f t="shared" si="3"/>
        <v>368.05174999999986</v>
      </c>
      <c r="U21" s="13" t="s">
        <v>63</v>
      </c>
      <c r="V21" s="13">
        <v>2000</v>
      </c>
      <c r="W21" s="13">
        <v>2000</v>
      </c>
      <c r="X21" s="13">
        <v>1650</v>
      </c>
      <c r="Y21" s="13">
        <v>1350</v>
      </c>
      <c r="Z21" s="13">
        <v>1300</v>
      </c>
      <c r="AA21" s="13">
        <f>SUM(V21:Z21)</f>
        <v>8300</v>
      </c>
    </row>
    <row r="22" spans="1:27" x14ac:dyDescent="0.2">
      <c r="A22" t="s">
        <v>101</v>
      </c>
      <c r="B22" s="2">
        <v>180</v>
      </c>
      <c r="C22" s="2">
        <v>490</v>
      </c>
      <c r="D22" s="2">
        <v>870</v>
      </c>
      <c r="E22" s="2">
        <v>1010</v>
      </c>
      <c r="F22" s="31">
        <f t="shared" si="3"/>
        <v>1161.5</v>
      </c>
      <c r="G22" s="31">
        <f t="shared" si="3"/>
        <v>1335.7249999999999</v>
      </c>
      <c r="H22" s="31">
        <f t="shared" si="3"/>
        <v>1536.0837499999998</v>
      </c>
      <c r="U22" s="13" t="s">
        <v>64</v>
      </c>
      <c r="V22" s="14">
        <v>0.72499999999999998</v>
      </c>
      <c r="W22" s="14">
        <v>0.72499999999999998</v>
      </c>
      <c r="X22" s="14">
        <v>0.72499999999999998</v>
      </c>
      <c r="Y22" s="14">
        <v>0.72499999999999998</v>
      </c>
      <c r="Z22" s="15">
        <v>0.72499999999999998</v>
      </c>
      <c r="AA22" s="14">
        <v>0.72499999999999998</v>
      </c>
    </row>
    <row r="23" spans="1:27" x14ac:dyDescent="0.2">
      <c r="A23" t="s">
        <v>103</v>
      </c>
      <c r="B23" s="2" t="s">
        <v>124</v>
      </c>
      <c r="C23" s="2">
        <v>255</v>
      </c>
      <c r="D23" s="32">
        <f t="shared" ref="D23:E23" si="4">C23*(1+D25)</f>
        <v>318.75</v>
      </c>
      <c r="E23" s="32">
        <f t="shared" si="4"/>
        <v>398.4375</v>
      </c>
      <c r="F23" s="31">
        <f t="shared" si="3"/>
        <v>458.20312499999994</v>
      </c>
      <c r="G23" s="31">
        <f t="shared" si="3"/>
        <v>526.93359374999989</v>
      </c>
      <c r="H23" s="31">
        <f t="shared" si="3"/>
        <v>605.97363281249977</v>
      </c>
      <c r="U23" s="13" t="s">
        <v>65</v>
      </c>
      <c r="V23" s="13">
        <v>1450</v>
      </c>
      <c r="W23" s="13">
        <v>1450</v>
      </c>
      <c r="X23" s="13">
        <v>1196.25</v>
      </c>
      <c r="Y23" s="13">
        <v>978.75</v>
      </c>
      <c r="Z23" s="16">
        <f>Z22*Z21</f>
        <v>942.5</v>
      </c>
      <c r="AA23" s="13">
        <f>SUM(V23:Z23)</f>
        <v>6017.5</v>
      </c>
    </row>
    <row r="24" spans="1:27" x14ac:dyDescent="0.2">
      <c r="A24" t="s">
        <v>54</v>
      </c>
      <c r="B24" s="2">
        <v>217</v>
      </c>
      <c r="C24" s="32">
        <f>B24*(1+C25)</f>
        <v>325.5</v>
      </c>
      <c r="D24" s="32">
        <f t="shared" ref="D24:E24" si="5">C24*(1+D25)</f>
        <v>406.875</v>
      </c>
      <c r="E24" s="32">
        <f t="shared" si="5"/>
        <v>508.59375</v>
      </c>
      <c r="F24" s="31">
        <f t="shared" si="3"/>
        <v>584.8828125</v>
      </c>
      <c r="G24" s="31">
        <f t="shared" si="3"/>
        <v>672.615234375</v>
      </c>
      <c r="H24" s="31">
        <f t="shared" si="3"/>
        <v>773.50751953124995</v>
      </c>
      <c r="U24" s="13" t="s">
        <v>70</v>
      </c>
      <c r="V24" s="17">
        <v>6.5000000000000002E-2</v>
      </c>
      <c r="W24" s="17">
        <v>6.5000000000000002E-2</v>
      </c>
      <c r="X24" s="17">
        <v>6.5000000000000002E-2</v>
      </c>
      <c r="Y24" s="17">
        <v>6.5000000000000002E-2</v>
      </c>
      <c r="Z24" s="17">
        <v>6.5000000000000002E-2</v>
      </c>
      <c r="AA24" s="17">
        <v>6.5000000000000002E-2</v>
      </c>
    </row>
    <row r="25" spans="1:27" x14ac:dyDescent="0.2">
      <c r="A25" t="s">
        <v>57</v>
      </c>
      <c r="C25">
        <v>0.5</v>
      </c>
      <c r="D25">
        <v>0.25</v>
      </c>
      <c r="E25">
        <v>0.25</v>
      </c>
      <c r="F25" s="4">
        <v>0.15</v>
      </c>
      <c r="G25">
        <v>0.15</v>
      </c>
      <c r="H25">
        <v>0.11</v>
      </c>
      <c r="U25" s="13" t="s">
        <v>71</v>
      </c>
      <c r="V25" s="14">
        <v>3.5000000000000003E-2</v>
      </c>
      <c r="W25" s="14">
        <v>3.5000000000000003E-2</v>
      </c>
      <c r="X25" s="14">
        <v>3.5000000000000003E-2</v>
      </c>
      <c r="Y25" s="14">
        <v>3.5000000000000003E-2</v>
      </c>
      <c r="Z25" s="14">
        <v>3.5000000000000003E-2</v>
      </c>
      <c r="AA25" s="14">
        <v>3.5000000000000003E-2</v>
      </c>
    </row>
    <row r="26" spans="1:27" x14ac:dyDescent="0.2">
      <c r="C26">
        <f>1+C25</f>
        <v>1.5</v>
      </c>
      <c r="D26">
        <f t="shared" ref="D26:H26" si="6">1+D25</f>
        <v>1.25</v>
      </c>
      <c r="E26">
        <f t="shared" si="6"/>
        <v>1.25</v>
      </c>
      <c r="F26">
        <f t="shared" si="6"/>
        <v>1.1499999999999999</v>
      </c>
      <c r="G26">
        <f t="shared" si="6"/>
        <v>1.1499999999999999</v>
      </c>
      <c r="H26">
        <f t="shared" si="6"/>
        <v>1.1100000000000001</v>
      </c>
      <c r="U26" s="13" t="s">
        <v>66</v>
      </c>
      <c r="V26" s="16">
        <f>V24*V23</f>
        <v>94.25</v>
      </c>
      <c r="W26" s="16">
        <f t="shared" ref="W26:Y26" si="7">W24*W23</f>
        <v>94.25</v>
      </c>
      <c r="X26" s="16">
        <f t="shared" si="7"/>
        <v>77.756250000000009</v>
      </c>
      <c r="Y26" s="16">
        <f t="shared" si="7"/>
        <v>63.618750000000006</v>
      </c>
      <c r="Z26" s="16">
        <f>Z24*Z23</f>
        <v>61.262500000000003</v>
      </c>
      <c r="AA26" s="16">
        <f>SUM(V26:Z26)</f>
        <v>391.13749999999999</v>
      </c>
    </row>
    <row r="27" spans="1:27" ht="42.75" x14ac:dyDescent="0.2">
      <c r="C27">
        <f>PRODUCT(C26:H26)^(1/6)</f>
        <v>1.2286786845872844</v>
      </c>
      <c r="J27" s="4" t="s">
        <v>16</v>
      </c>
      <c r="K27" t="s">
        <v>1</v>
      </c>
      <c r="L27" t="s">
        <v>2</v>
      </c>
      <c r="M27" t="s">
        <v>3</v>
      </c>
      <c r="N27" t="s">
        <v>15</v>
      </c>
      <c r="U27" s="18" t="s">
        <v>67</v>
      </c>
      <c r="V27" s="19">
        <f>V25*V23</f>
        <v>50.750000000000007</v>
      </c>
      <c r="W27" s="19">
        <f t="shared" ref="W27:Y27" si="8">W25*W23</f>
        <v>50.750000000000007</v>
      </c>
      <c r="X27" s="19">
        <f t="shared" si="8"/>
        <v>41.868750000000006</v>
      </c>
      <c r="Y27" s="19">
        <f t="shared" si="8"/>
        <v>34.256250000000001</v>
      </c>
      <c r="Z27" s="19">
        <f>Z25*Z23</f>
        <v>32.987500000000004</v>
      </c>
      <c r="AA27" s="16">
        <f>SUM(V27:Z27)</f>
        <v>210.61250000000004</v>
      </c>
    </row>
    <row r="28" spans="1:27" x14ac:dyDescent="0.2">
      <c r="J28" s="4" t="s">
        <v>17</v>
      </c>
      <c r="K28" s="3">
        <f>0.84</f>
        <v>0.84</v>
      </c>
      <c r="L28" s="3">
        <v>0.66</v>
      </c>
      <c r="M28" s="3">
        <v>0.56999999999999995</v>
      </c>
      <c r="N28" s="3">
        <v>0.47</v>
      </c>
      <c r="U28" s="13" t="s">
        <v>68</v>
      </c>
      <c r="V28" s="14">
        <v>3.1E-2</v>
      </c>
      <c r="W28" s="14">
        <v>3.1E-2</v>
      </c>
      <c r="X28" s="14">
        <v>3.1E-2</v>
      </c>
      <c r="Y28" s="14">
        <v>3.1E-2</v>
      </c>
      <c r="Z28" s="14">
        <v>3.1E-2</v>
      </c>
      <c r="AA28" s="14">
        <v>3.1E-2</v>
      </c>
    </row>
    <row r="29" spans="1:27" x14ac:dyDescent="0.2">
      <c r="J29" s="4" t="s">
        <v>18</v>
      </c>
      <c r="K29" s="3">
        <f>1-K28</f>
        <v>0.16000000000000003</v>
      </c>
      <c r="L29" s="3">
        <f>1-L28</f>
        <v>0.33999999999999997</v>
      </c>
      <c r="M29" s="3">
        <f>1-M28</f>
        <v>0.43000000000000005</v>
      </c>
      <c r="N29" s="3">
        <f>1-N28</f>
        <v>0.53</v>
      </c>
      <c r="U29" s="18" t="s">
        <v>69</v>
      </c>
      <c r="V29" s="18">
        <v>62</v>
      </c>
      <c r="W29" s="18">
        <v>62</v>
      </c>
      <c r="X29" s="18">
        <v>51.15</v>
      </c>
      <c r="Y29" s="18">
        <v>41.85</v>
      </c>
      <c r="Z29" s="18">
        <v>41.85</v>
      </c>
      <c r="AA29" s="13">
        <f>SUM(V29:Z29)</f>
        <v>258.85000000000002</v>
      </c>
    </row>
    <row r="30" spans="1:27" x14ac:dyDescent="0.2">
      <c r="U30" s="13" t="s">
        <v>72</v>
      </c>
      <c r="V30" s="20">
        <v>0.8</v>
      </c>
    </row>
    <row r="31" spans="1:27" x14ac:dyDescent="0.2">
      <c r="U31" s="18" t="s">
        <v>73</v>
      </c>
      <c r="V31" s="21">
        <f>AA27/V30</f>
        <v>263.26562500000006</v>
      </c>
    </row>
    <row r="32" spans="1:27" x14ac:dyDescent="0.2">
      <c r="A32" t="s">
        <v>80</v>
      </c>
      <c r="B32" t="s">
        <v>45</v>
      </c>
      <c r="C32" t="s">
        <v>46</v>
      </c>
      <c r="D32" t="s">
        <v>42</v>
      </c>
      <c r="E32" t="s">
        <v>43</v>
      </c>
      <c r="F32" s="4" t="s">
        <v>44</v>
      </c>
      <c r="G32" t="s">
        <v>74</v>
      </c>
    </row>
    <row r="33" spans="1:27" x14ac:dyDescent="0.2">
      <c r="A33" t="s">
        <v>75</v>
      </c>
      <c r="B33" s="5">
        <v>0.35</v>
      </c>
      <c r="C33" s="5">
        <v>0.2</v>
      </c>
      <c r="D33" s="5">
        <v>0.15</v>
      </c>
      <c r="E33" s="5">
        <v>0.12</v>
      </c>
      <c r="F33" s="9">
        <v>0.08</v>
      </c>
      <c r="G33" s="5">
        <f>SUM(B33:F33)</f>
        <v>0.9</v>
      </c>
    </row>
    <row r="34" spans="1:27" x14ac:dyDescent="0.2">
      <c r="A34" t="s">
        <v>76</v>
      </c>
      <c r="B34" s="3">
        <f>B33/7*5</f>
        <v>0.24999999999999997</v>
      </c>
      <c r="C34" s="3">
        <f t="shared" ref="C34:F34" si="9">C33/7*5</f>
        <v>0.14285714285714288</v>
      </c>
      <c r="D34" s="3">
        <f t="shared" si="9"/>
        <v>0.10714285714285715</v>
      </c>
      <c r="E34" s="3">
        <f t="shared" si="9"/>
        <v>8.5714285714285715E-2</v>
      </c>
      <c r="F34" s="3">
        <f t="shared" si="9"/>
        <v>5.7142857142857141E-2</v>
      </c>
      <c r="G34" s="5">
        <f>SUM(B34:F34)</f>
        <v>0.6428571428571429</v>
      </c>
    </row>
    <row r="35" spans="1:27" x14ac:dyDescent="0.2">
      <c r="A35" t="s">
        <v>77</v>
      </c>
      <c r="B35" t="s">
        <v>78</v>
      </c>
      <c r="C35" t="s">
        <v>79</v>
      </c>
      <c r="U35" s="21"/>
      <c r="V35" s="21" t="s">
        <v>58</v>
      </c>
      <c r="W35" s="21" t="s">
        <v>59</v>
      </c>
      <c r="X35" s="21" t="s">
        <v>60</v>
      </c>
      <c r="Y35" s="21" t="s">
        <v>61</v>
      </c>
      <c r="Z35" s="21" t="s">
        <v>113</v>
      </c>
      <c r="AA35" s="21" t="s">
        <v>62</v>
      </c>
    </row>
    <row r="36" spans="1:27" x14ac:dyDescent="0.2">
      <c r="A36" t="s">
        <v>49</v>
      </c>
      <c r="B36">
        <v>382</v>
      </c>
      <c r="C36" s="2">
        <v>248.42</v>
      </c>
      <c r="U36" s="21" t="s">
        <v>63</v>
      </c>
      <c r="V36" s="21">
        <v>2000</v>
      </c>
      <c r="W36" s="21">
        <v>2000</v>
      </c>
      <c r="X36" s="21">
        <v>1650</v>
      </c>
      <c r="Y36" s="21">
        <v>1350</v>
      </c>
      <c r="Z36" s="21">
        <v>1300</v>
      </c>
      <c r="AA36" s="21">
        <v>8300</v>
      </c>
    </row>
    <row r="37" spans="1:27" x14ac:dyDescent="0.2">
      <c r="A37" t="s">
        <v>47</v>
      </c>
      <c r="B37" s="6">
        <v>0.97950000000000004</v>
      </c>
      <c r="C37" s="6">
        <v>0.99719999999999998</v>
      </c>
      <c r="U37" s="21" t="s">
        <v>64</v>
      </c>
      <c r="V37" s="27">
        <v>0.72499999999999998</v>
      </c>
      <c r="W37" s="27">
        <v>0.72499999999999998</v>
      </c>
      <c r="X37" s="27">
        <v>0.72499999999999998</v>
      </c>
      <c r="Y37" s="27">
        <v>0.72499999999999998</v>
      </c>
      <c r="Z37" s="27">
        <v>0.72499999999999998</v>
      </c>
      <c r="AA37" s="27">
        <v>0.72499999999999998</v>
      </c>
    </row>
    <row r="38" spans="1:27" x14ac:dyDescent="0.2">
      <c r="A38" t="s">
        <v>48</v>
      </c>
      <c r="B38" s="1">
        <f>B37*B36</f>
        <v>374.16900000000004</v>
      </c>
      <c r="C38" s="1">
        <f>C37*C36</f>
        <v>247.72442399999997</v>
      </c>
      <c r="U38" s="21" t="s">
        <v>117</v>
      </c>
      <c r="V38" s="21">
        <v>1450</v>
      </c>
      <c r="W38" s="21">
        <v>1450</v>
      </c>
      <c r="X38" s="21">
        <v>1196.25</v>
      </c>
      <c r="Y38" s="21">
        <v>978.75</v>
      </c>
      <c r="Z38" s="21">
        <v>942.5</v>
      </c>
      <c r="AA38" s="21">
        <v>5075</v>
      </c>
    </row>
    <row r="39" spans="1:27" x14ac:dyDescent="0.2">
      <c r="B39" s="6">
        <f>C33/B33</f>
        <v>0.57142857142857151</v>
      </c>
      <c r="U39" s="21" t="s">
        <v>115</v>
      </c>
      <c r="V39" s="28">
        <v>6.5000000000000002E-2</v>
      </c>
      <c r="W39" s="28">
        <v>6.5000000000000002E-2</v>
      </c>
      <c r="X39" s="28">
        <v>6.5000000000000002E-2</v>
      </c>
      <c r="Y39" s="28">
        <v>6.5000000000000002E-2</v>
      </c>
      <c r="Z39" s="28">
        <v>6.5000000000000002E-2</v>
      </c>
      <c r="AA39" s="28">
        <v>6.5000000000000002E-2</v>
      </c>
    </row>
    <row r="40" spans="1:27" x14ac:dyDescent="0.2">
      <c r="B40" s="8">
        <f>C38/B38</f>
        <v>0.66206560137264159</v>
      </c>
      <c r="U40" s="21" t="s">
        <v>121</v>
      </c>
      <c r="V40" s="28">
        <v>3.5000000000000003E-2</v>
      </c>
      <c r="W40" s="28">
        <v>3.5000000000000003E-2</v>
      </c>
      <c r="X40" s="28">
        <v>3.5000000000000003E-2</v>
      </c>
      <c r="Y40" s="28">
        <v>3.5000000000000003E-2</v>
      </c>
      <c r="Z40" s="28">
        <v>3.5000000000000003E-2</v>
      </c>
      <c r="AA40" s="28">
        <v>3.5000000000000003E-2</v>
      </c>
    </row>
    <row r="41" spans="1:27" x14ac:dyDescent="0.2">
      <c r="U41" s="21" t="s">
        <v>119</v>
      </c>
      <c r="V41" s="21">
        <v>94.25</v>
      </c>
      <c r="W41" s="21">
        <v>94.25</v>
      </c>
      <c r="X41" s="21">
        <v>77.756250000000009</v>
      </c>
      <c r="Y41" s="21">
        <v>63.618750000000006</v>
      </c>
      <c r="Z41" s="21">
        <v>61.262500000000003</v>
      </c>
      <c r="AA41" s="21">
        <v>329.875</v>
      </c>
    </row>
    <row r="42" spans="1:27" x14ac:dyDescent="0.2">
      <c r="U42" s="21" t="s">
        <v>118</v>
      </c>
      <c r="V42" s="21">
        <v>50.750000000000007</v>
      </c>
      <c r="W42" s="21">
        <v>50.750000000000007</v>
      </c>
      <c r="X42" s="21">
        <v>41.868750000000006</v>
      </c>
      <c r="Y42" s="21">
        <v>34.256250000000001</v>
      </c>
      <c r="Z42" s="21">
        <v>32.987500000000004</v>
      </c>
      <c r="AA42" s="21">
        <v>210.61250000000004</v>
      </c>
    </row>
    <row r="43" spans="1:27" x14ac:dyDescent="0.2">
      <c r="B43" s="5">
        <v>0.25</v>
      </c>
      <c r="C43" s="3">
        <f>C44/B45</f>
        <v>0.16548637092463922</v>
      </c>
      <c r="U43" s="21" t="s">
        <v>68</v>
      </c>
      <c r="V43" s="28">
        <v>3.1E-2</v>
      </c>
      <c r="W43" s="28">
        <v>3.1E-2</v>
      </c>
      <c r="X43" s="28">
        <v>3.1E-2</v>
      </c>
      <c r="Y43" s="28">
        <v>3.1E-2</v>
      </c>
      <c r="Z43" s="28">
        <v>3.1E-2</v>
      </c>
      <c r="AA43" s="28">
        <v>3.1E-2</v>
      </c>
    </row>
    <row r="44" spans="1:27" x14ac:dyDescent="0.2">
      <c r="B44">
        <v>374.2</v>
      </c>
      <c r="C44">
        <v>247.7</v>
      </c>
      <c r="U44" s="21" t="s">
        <v>120</v>
      </c>
      <c r="V44" s="21">
        <v>62</v>
      </c>
      <c r="W44" s="23">
        <v>62</v>
      </c>
      <c r="X44" s="23">
        <v>51.15</v>
      </c>
      <c r="Y44" s="23">
        <v>41.85</v>
      </c>
      <c r="Z44" s="23">
        <v>41.85</v>
      </c>
      <c r="AA44" s="23">
        <v>258.85000000000002</v>
      </c>
    </row>
    <row r="45" spans="1:27" x14ac:dyDescent="0.2">
      <c r="A45" t="s">
        <v>51</v>
      </c>
      <c r="B45">
        <f>B44/B43</f>
        <v>1496.8</v>
      </c>
      <c r="U45" s="21" t="s">
        <v>116</v>
      </c>
      <c r="V45" s="29">
        <v>0.8</v>
      </c>
      <c r="W45" s="25"/>
      <c r="X45" s="24"/>
      <c r="Y45" s="24"/>
      <c r="Z45" s="24"/>
      <c r="AA45" s="24"/>
    </row>
    <row r="46" spans="1:27" x14ac:dyDescent="0.2">
      <c r="A46" t="s">
        <v>52</v>
      </c>
      <c r="B46">
        <f>B45/6.85</f>
        <v>218.5109489051095</v>
      </c>
      <c r="U46" s="21" t="s">
        <v>122</v>
      </c>
      <c r="V46" s="22">
        <v>263.26562500000006</v>
      </c>
      <c r="W46" s="26"/>
    </row>
    <row r="48" spans="1:27" x14ac:dyDescent="0.2">
      <c r="A48" t="s">
        <v>81</v>
      </c>
      <c r="B48" t="s">
        <v>45</v>
      </c>
      <c r="C48" t="s">
        <v>46</v>
      </c>
      <c r="D48" t="s">
        <v>82</v>
      </c>
      <c r="E48" t="s">
        <v>83</v>
      </c>
      <c r="F48" s="4" t="s">
        <v>84</v>
      </c>
      <c r="G48" t="s">
        <v>74</v>
      </c>
    </row>
    <row r="49" spans="1:7" x14ac:dyDescent="0.2">
      <c r="A49" t="s">
        <v>75</v>
      </c>
      <c r="B49" s="5">
        <v>0.45</v>
      </c>
      <c r="C49" s="5">
        <v>0.3</v>
      </c>
      <c r="D49" s="5">
        <v>0.15</v>
      </c>
      <c r="E49" s="5">
        <v>0.08</v>
      </c>
      <c r="F49" s="9">
        <v>0.05</v>
      </c>
      <c r="G49" s="5">
        <f>SUM(B49:F49)</f>
        <v>1.03</v>
      </c>
    </row>
    <row r="50" spans="1:7" x14ac:dyDescent="0.2">
      <c r="A50" t="s">
        <v>76</v>
      </c>
      <c r="B50" s="3">
        <v>0.4</v>
      </c>
      <c r="C50" s="3">
        <v>0.2</v>
      </c>
      <c r="D50" s="3">
        <v>0.1</v>
      </c>
      <c r="E50" s="3">
        <v>0.06</v>
      </c>
      <c r="F50" s="3">
        <v>0.04</v>
      </c>
      <c r="G50" s="5">
        <f>SUM(B50:F50)</f>
        <v>0.8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4705-0ADB-4AB9-AEBD-0309CEFFECB6}">
  <dimension ref="A15:U62"/>
  <sheetViews>
    <sheetView topLeftCell="A40" workbookViewId="0">
      <selection activeCell="A44" sqref="A44:I51"/>
    </sheetView>
  </sheetViews>
  <sheetFormatPr defaultRowHeight="14.25" x14ac:dyDescent="0.2"/>
  <cols>
    <col min="1" max="1" width="19" customWidth="1"/>
    <col min="2" max="4" width="13.125" bestFit="1" customWidth="1"/>
    <col min="5" max="7" width="14.25" bestFit="1" customWidth="1"/>
    <col min="8" max="8" width="18.75" customWidth="1"/>
    <col min="9" max="9" width="13.625" bestFit="1" customWidth="1"/>
    <col min="10" max="11" width="12.75" bestFit="1" customWidth="1"/>
  </cols>
  <sheetData>
    <row r="15" spans="8:21" x14ac:dyDescent="0.2">
      <c r="H15" t="s">
        <v>89</v>
      </c>
      <c r="I15" t="s">
        <v>90</v>
      </c>
      <c r="J15" t="s">
        <v>91</v>
      </c>
      <c r="K15" t="s">
        <v>92</v>
      </c>
      <c r="L15" t="s">
        <v>85</v>
      </c>
      <c r="M15" t="s">
        <v>90</v>
      </c>
      <c r="N15" t="s">
        <v>91</v>
      </c>
      <c r="O15" t="s">
        <v>92</v>
      </c>
      <c r="P15" t="s">
        <v>93</v>
      </c>
      <c r="Q15" t="s">
        <v>87</v>
      </c>
      <c r="R15" t="s">
        <v>90</v>
      </c>
      <c r="S15" t="s">
        <v>91</v>
      </c>
      <c r="T15" t="s">
        <v>92</v>
      </c>
      <c r="U15" t="s">
        <v>93</v>
      </c>
    </row>
    <row r="16" spans="8:21" x14ac:dyDescent="0.2">
      <c r="H16" t="s">
        <v>94</v>
      </c>
      <c r="I16">
        <v>2170</v>
      </c>
      <c r="J16">
        <v>5800</v>
      </c>
      <c r="K16">
        <v>8100</v>
      </c>
      <c r="L16" t="s">
        <v>94</v>
      </c>
      <c r="M16">
        <v>1026.7260579064589</v>
      </c>
      <c r="N16">
        <v>3635.0974930362117</v>
      </c>
      <c r="O16">
        <v>5575.5627009646305</v>
      </c>
      <c r="P16">
        <v>9184.100418410042</v>
      </c>
      <c r="Q16" t="s">
        <v>94</v>
      </c>
      <c r="R16">
        <v>1800</v>
      </c>
      <c r="S16">
        <v>4400</v>
      </c>
      <c r="T16">
        <v>6300</v>
      </c>
      <c r="U16">
        <v>6400</v>
      </c>
    </row>
    <row r="17" spans="8:21" x14ac:dyDescent="0.2">
      <c r="H17" t="s">
        <v>95</v>
      </c>
      <c r="I17">
        <v>250</v>
      </c>
      <c r="J17">
        <v>2980</v>
      </c>
      <c r="K17">
        <v>7000</v>
      </c>
      <c r="L17" t="s">
        <v>95</v>
      </c>
      <c r="M17">
        <v>94.907407407407405</v>
      </c>
      <c r="N17">
        <v>506.51230101302463</v>
      </c>
      <c r="O17">
        <v>1235.4892205638475</v>
      </c>
      <c r="P17">
        <v>2552.4625267665951</v>
      </c>
      <c r="Q17" t="s">
        <v>95</v>
      </c>
      <c r="R17">
        <v>270</v>
      </c>
      <c r="S17">
        <v>2900</v>
      </c>
      <c r="T17">
        <v>7900</v>
      </c>
      <c r="U17">
        <v>8700</v>
      </c>
    </row>
    <row r="18" spans="8:21" x14ac:dyDescent="0.2">
      <c r="H18" t="s">
        <v>96</v>
      </c>
      <c r="I18">
        <v>0</v>
      </c>
      <c r="J18">
        <v>0</v>
      </c>
      <c r="K18">
        <v>100</v>
      </c>
      <c r="L18" t="s">
        <v>96</v>
      </c>
      <c r="M18">
        <v>0</v>
      </c>
      <c r="N18">
        <v>0</v>
      </c>
      <c r="O18">
        <v>0</v>
      </c>
      <c r="P18">
        <v>215.05376344086022</v>
      </c>
      <c r="Q18" t="s">
        <v>96</v>
      </c>
      <c r="R18">
        <v>0</v>
      </c>
      <c r="S18">
        <v>0</v>
      </c>
      <c r="T18">
        <v>0</v>
      </c>
      <c r="U18">
        <v>0</v>
      </c>
    </row>
    <row r="19" spans="8:21" x14ac:dyDescent="0.2">
      <c r="H19" t="s">
        <v>97</v>
      </c>
      <c r="I19">
        <v>2420</v>
      </c>
      <c r="J19">
        <v>8780</v>
      </c>
      <c r="K19">
        <v>15200</v>
      </c>
      <c r="L19" t="s">
        <v>97</v>
      </c>
      <c r="M19">
        <v>1121.6334653138663</v>
      </c>
      <c r="N19">
        <v>4141.6097940492364</v>
      </c>
      <c r="O19">
        <v>6811.0519215284785</v>
      </c>
      <c r="P19">
        <v>11951.616708617497</v>
      </c>
      <c r="Q19" t="s">
        <v>97</v>
      </c>
      <c r="R19">
        <v>2070</v>
      </c>
      <c r="S19">
        <v>7300</v>
      </c>
      <c r="T19">
        <v>14200</v>
      </c>
      <c r="U19">
        <v>15100</v>
      </c>
    </row>
    <row r="22" spans="8:21" x14ac:dyDescent="0.2">
      <c r="H22" t="s">
        <v>99</v>
      </c>
      <c r="I22" t="s">
        <v>94</v>
      </c>
      <c r="J22" t="s">
        <v>95</v>
      </c>
      <c r="K22" t="s">
        <v>96</v>
      </c>
      <c r="L22" t="s">
        <v>97</v>
      </c>
    </row>
    <row r="23" spans="8:21" x14ac:dyDescent="0.2">
      <c r="H23" t="s">
        <v>90</v>
      </c>
      <c r="I23" s="2">
        <v>1026.7260579064589</v>
      </c>
      <c r="J23" s="2">
        <v>94.907407407407405</v>
      </c>
      <c r="K23">
        <v>0</v>
      </c>
      <c r="L23">
        <v>1121.6334653138663</v>
      </c>
    </row>
    <row r="24" spans="8:21" x14ac:dyDescent="0.2">
      <c r="H24" t="s">
        <v>91</v>
      </c>
      <c r="I24" s="2">
        <v>3635.0974930362117</v>
      </c>
      <c r="J24" s="2">
        <v>506.51230101302463</v>
      </c>
      <c r="K24">
        <v>0</v>
      </c>
      <c r="L24">
        <v>4141.6097940492364</v>
      </c>
    </row>
    <row r="25" spans="8:21" x14ac:dyDescent="0.2">
      <c r="H25" t="s">
        <v>92</v>
      </c>
      <c r="I25" s="2">
        <v>5575.5627009646305</v>
      </c>
      <c r="J25" s="2">
        <v>1235.4892205638475</v>
      </c>
      <c r="K25">
        <v>0</v>
      </c>
      <c r="L25">
        <v>6811.0519215284785</v>
      </c>
    </row>
    <row r="26" spans="8:21" x14ac:dyDescent="0.2">
      <c r="H26" t="s">
        <v>93</v>
      </c>
      <c r="I26" s="2">
        <v>9184.100418410042</v>
      </c>
      <c r="J26" s="2">
        <v>2552.4625267665951</v>
      </c>
      <c r="K26">
        <v>215.05376344086022</v>
      </c>
      <c r="L26">
        <v>11951.616708617497</v>
      </c>
    </row>
    <row r="27" spans="8:21" x14ac:dyDescent="0.2">
      <c r="H27" t="s">
        <v>98</v>
      </c>
      <c r="I27" t="s">
        <v>94</v>
      </c>
      <c r="J27" t="s">
        <v>95</v>
      </c>
      <c r="K27" t="s">
        <v>96</v>
      </c>
      <c r="L27" t="s">
        <v>97</v>
      </c>
    </row>
    <row r="28" spans="8:21" x14ac:dyDescent="0.2">
      <c r="H28" t="s">
        <v>90</v>
      </c>
      <c r="I28">
        <v>2170</v>
      </c>
      <c r="J28">
        <v>250</v>
      </c>
      <c r="K28">
        <v>0</v>
      </c>
      <c r="L28">
        <v>2420</v>
      </c>
    </row>
    <row r="29" spans="8:21" x14ac:dyDescent="0.2">
      <c r="H29" t="s">
        <v>91</v>
      </c>
      <c r="I29">
        <v>5800</v>
      </c>
      <c r="J29">
        <v>2980</v>
      </c>
      <c r="K29">
        <v>0</v>
      </c>
      <c r="L29">
        <v>8780</v>
      </c>
    </row>
    <row r="30" spans="8:21" x14ac:dyDescent="0.2">
      <c r="H30" t="s">
        <v>92</v>
      </c>
      <c r="I30">
        <v>8100</v>
      </c>
      <c r="J30">
        <v>7000</v>
      </c>
      <c r="K30">
        <v>100</v>
      </c>
      <c r="L30">
        <v>15200</v>
      </c>
    </row>
    <row r="31" spans="8:21" x14ac:dyDescent="0.2">
      <c r="H31" t="s">
        <v>87</v>
      </c>
      <c r="I31" t="s">
        <v>94</v>
      </c>
      <c r="J31" t="s">
        <v>95</v>
      </c>
      <c r="K31" t="s">
        <v>96</v>
      </c>
      <c r="L31" t="s">
        <v>97</v>
      </c>
    </row>
    <row r="32" spans="8:21" x14ac:dyDescent="0.2">
      <c r="H32" t="s">
        <v>90</v>
      </c>
      <c r="I32">
        <v>1800</v>
      </c>
      <c r="J32">
        <v>270</v>
      </c>
      <c r="K32">
        <v>0</v>
      </c>
      <c r="L32">
        <v>2070</v>
      </c>
    </row>
    <row r="33" spans="1:12" x14ac:dyDescent="0.2">
      <c r="H33" t="s">
        <v>91</v>
      </c>
      <c r="I33">
        <v>4400</v>
      </c>
      <c r="J33">
        <v>2900</v>
      </c>
      <c r="K33">
        <v>0</v>
      </c>
      <c r="L33">
        <v>7300</v>
      </c>
    </row>
    <row r="34" spans="1:12" x14ac:dyDescent="0.2">
      <c r="H34" t="s">
        <v>92</v>
      </c>
      <c r="I34">
        <v>6300</v>
      </c>
      <c r="J34">
        <v>7900</v>
      </c>
      <c r="K34">
        <v>0</v>
      </c>
      <c r="L34">
        <v>14200</v>
      </c>
    </row>
    <row r="35" spans="1:12" x14ac:dyDescent="0.2">
      <c r="H35" t="s">
        <v>93</v>
      </c>
      <c r="I35">
        <v>6400</v>
      </c>
      <c r="J35">
        <v>8700</v>
      </c>
      <c r="K35">
        <v>0</v>
      </c>
      <c r="L35">
        <v>15100</v>
      </c>
    </row>
    <row r="44" spans="1:12" x14ac:dyDescent="0.2">
      <c r="A44" t="s">
        <v>111</v>
      </c>
      <c r="B44" t="s">
        <v>112</v>
      </c>
      <c r="C44" t="s">
        <v>90</v>
      </c>
      <c r="D44" t="s">
        <v>91</v>
      </c>
      <c r="E44" t="s">
        <v>92</v>
      </c>
      <c r="F44" t="s">
        <v>93</v>
      </c>
      <c r="G44" t="s">
        <v>104</v>
      </c>
      <c r="H44" t="s">
        <v>105</v>
      </c>
      <c r="I44" t="s">
        <v>106</v>
      </c>
    </row>
    <row r="45" spans="1:12" x14ac:dyDescent="0.2">
      <c r="A45" s="33" t="s">
        <v>108</v>
      </c>
      <c r="B45" t="s">
        <v>126</v>
      </c>
      <c r="C45" s="2">
        <v>148</v>
      </c>
      <c r="D45" s="2">
        <v>165.46903033498444</v>
      </c>
      <c r="E45" s="2">
        <v>185</v>
      </c>
      <c r="F45" s="30">
        <v>206.7244542863761</v>
      </c>
      <c r="G45" s="10">
        <v>231</v>
      </c>
      <c r="H45" s="30">
        <v>260.603146565808</v>
      </c>
      <c r="I45" s="2">
        <v>294</v>
      </c>
    </row>
    <row r="46" spans="1:12" x14ac:dyDescent="0.2">
      <c r="A46" s="33"/>
      <c r="B46" t="s">
        <v>55</v>
      </c>
      <c r="C46" s="2">
        <v>170</v>
      </c>
      <c r="D46" s="2">
        <v>205</v>
      </c>
      <c r="E46" s="2">
        <v>220</v>
      </c>
      <c r="F46" s="2">
        <v>242</v>
      </c>
      <c r="G46" s="31">
        <v>278.29999999999995</v>
      </c>
      <c r="H46" s="31">
        <v>320.0449999999999</v>
      </c>
      <c r="I46" s="31">
        <v>368.05174999999986</v>
      </c>
    </row>
    <row r="47" spans="1:12" x14ac:dyDescent="0.2">
      <c r="A47" s="33" t="s">
        <v>109</v>
      </c>
      <c r="B47" t="s">
        <v>102</v>
      </c>
      <c r="C47" s="2" t="s">
        <v>123</v>
      </c>
      <c r="D47" s="2">
        <v>255</v>
      </c>
      <c r="E47" s="32">
        <v>318.75</v>
      </c>
      <c r="F47" s="32">
        <v>398.4375</v>
      </c>
      <c r="G47" s="31">
        <v>458.20312499999994</v>
      </c>
      <c r="H47" s="31">
        <v>526.93359374999989</v>
      </c>
      <c r="I47" s="31">
        <v>605.97363281249977</v>
      </c>
    </row>
    <row r="48" spans="1:12" x14ac:dyDescent="0.2">
      <c r="A48" s="33"/>
      <c r="B48" t="s">
        <v>53</v>
      </c>
      <c r="C48" s="2">
        <v>217</v>
      </c>
      <c r="D48" s="32">
        <v>325.5</v>
      </c>
      <c r="E48" s="32">
        <v>406.875</v>
      </c>
      <c r="F48" s="32">
        <v>508.59375</v>
      </c>
      <c r="G48" s="31">
        <v>584.8828125</v>
      </c>
      <c r="H48" s="31">
        <v>672.615234375</v>
      </c>
      <c r="I48" s="31">
        <v>773.50751953124995</v>
      </c>
    </row>
    <row r="49" spans="1:11" x14ac:dyDescent="0.2">
      <c r="A49" s="33"/>
      <c r="B49" t="s">
        <v>107</v>
      </c>
      <c r="C49" s="2">
        <v>241</v>
      </c>
      <c r="D49" s="2">
        <v>302</v>
      </c>
      <c r="E49" s="2">
        <v>368</v>
      </c>
      <c r="F49" s="2">
        <v>477</v>
      </c>
      <c r="G49" s="31">
        <v>548.54999999999995</v>
      </c>
      <c r="H49" s="31">
        <v>630.83249999999987</v>
      </c>
      <c r="I49" s="31">
        <v>725.45737499999984</v>
      </c>
    </row>
    <row r="50" spans="1:11" x14ac:dyDescent="0.2">
      <c r="A50" s="11" t="s">
        <v>110</v>
      </c>
      <c r="B50" t="s">
        <v>100</v>
      </c>
      <c r="C50" s="2">
        <v>180</v>
      </c>
      <c r="D50" s="2">
        <v>490</v>
      </c>
      <c r="E50" s="2">
        <v>870</v>
      </c>
      <c r="F50" s="2">
        <v>1010</v>
      </c>
      <c r="G50" s="31">
        <v>1161.5</v>
      </c>
      <c r="H50" s="31">
        <v>1335.7249999999999</v>
      </c>
      <c r="I50" s="31">
        <v>1536.0837499999998</v>
      </c>
    </row>
    <row r="51" spans="1:11" x14ac:dyDescent="0.2">
      <c r="A51" s="34" t="s">
        <v>127</v>
      </c>
      <c r="B51" s="34"/>
      <c r="C51" s="34"/>
      <c r="D51">
        <v>0.5</v>
      </c>
      <c r="E51">
        <v>0.25</v>
      </c>
      <c r="F51">
        <v>0.25</v>
      </c>
      <c r="G51" s="4">
        <v>0.15</v>
      </c>
      <c r="H51">
        <v>0.15</v>
      </c>
      <c r="I51">
        <v>0.11</v>
      </c>
    </row>
    <row r="55" spans="1:11" x14ac:dyDescent="0.2">
      <c r="D55" t="s">
        <v>125</v>
      </c>
      <c r="E55" t="s">
        <v>90</v>
      </c>
      <c r="F55" t="s">
        <v>91</v>
      </c>
      <c r="G55" t="s">
        <v>92</v>
      </c>
      <c r="H55" t="s">
        <v>93</v>
      </c>
      <c r="I55" s="4" t="s">
        <v>104</v>
      </c>
      <c r="J55" t="s">
        <v>105</v>
      </c>
      <c r="K55" t="s">
        <v>106</v>
      </c>
    </row>
    <row r="56" spans="1:11" x14ac:dyDescent="0.2">
      <c r="D56" t="s">
        <v>126</v>
      </c>
      <c r="E56" s="2">
        <v>148</v>
      </c>
      <c r="F56" s="2">
        <v>165.46903033498444</v>
      </c>
      <c r="G56" s="2">
        <v>185</v>
      </c>
      <c r="H56" s="30">
        <v>206.7244542863761</v>
      </c>
      <c r="I56" s="10">
        <v>231</v>
      </c>
      <c r="J56" s="30">
        <v>260.603146565808</v>
      </c>
      <c r="K56" s="2">
        <v>294</v>
      </c>
    </row>
    <row r="57" spans="1:11" x14ac:dyDescent="0.2">
      <c r="D57" t="s">
        <v>55</v>
      </c>
      <c r="E57" s="2">
        <v>170</v>
      </c>
      <c r="F57" s="2">
        <v>205</v>
      </c>
      <c r="G57" s="2">
        <v>220</v>
      </c>
      <c r="H57" s="2">
        <v>242</v>
      </c>
      <c r="I57" s="31">
        <v>278.29999999999995</v>
      </c>
      <c r="J57" s="31">
        <v>320.0449999999999</v>
      </c>
      <c r="K57" s="31">
        <v>368.05174999999986</v>
      </c>
    </row>
    <row r="58" spans="1:11" x14ac:dyDescent="0.2">
      <c r="D58" t="s">
        <v>102</v>
      </c>
      <c r="E58" s="2" t="s">
        <v>123</v>
      </c>
      <c r="F58" s="2">
        <v>255</v>
      </c>
      <c r="G58" s="32">
        <v>318.75</v>
      </c>
      <c r="H58" s="32">
        <v>398.4375</v>
      </c>
      <c r="I58" s="31">
        <v>458.20312499999994</v>
      </c>
      <c r="J58" s="31">
        <v>526.93359374999989</v>
      </c>
      <c r="K58" s="31">
        <v>605.97363281249977</v>
      </c>
    </row>
    <row r="59" spans="1:11" x14ac:dyDescent="0.2">
      <c r="D59" t="s">
        <v>53</v>
      </c>
      <c r="E59" s="2">
        <v>217</v>
      </c>
      <c r="F59" s="32">
        <v>325.5</v>
      </c>
      <c r="G59" s="32">
        <v>406.875</v>
      </c>
      <c r="H59" s="32">
        <v>508.59375</v>
      </c>
      <c r="I59" s="31">
        <v>584.8828125</v>
      </c>
      <c r="J59" s="31">
        <v>672.615234375</v>
      </c>
      <c r="K59" s="31">
        <v>773.50751953124995</v>
      </c>
    </row>
    <row r="60" spans="1:11" x14ac:dyDescent="0.2">
      <c r="D60" t="s">
        <v>107</v>
      </c>
      <c r="E60" s="2">
        <v>241</v>
      </c>
      <c r="F60" s="2">
        <v>302</v>
      </c>
      <c r="G60" s="2">
        <v>368</v>
      </c>
      <c r="H60" s="2">
        <v>477</v>
      </c>
      <c r="I60" s="31">
        <v>548.54999999999995</v>
      </c>
      <c r="J60" s="31">
        <v>630.83249999999987</v>
      </c>
      <c r="K60" s="31">
        <v>725.45737499999984</v>
      </c>
    </row>
    <row r="61" spans="1:11" x14ac:dyDescent="0.2">
      <c r="D61" t="s">
        <v>100</v>
      </c>
      <c r="E61" s="2">
        <v>180</v>
      </c>
      <c r="F61" s="2">
        <v>490</v>
      </c>
      <c r="G61" s="2">
        <v>870</v>
      </c>
      <c r="H61" s="2">
        <v>1010</v>
      </c>
      <c r="I61" s="31">
        <v>1161.5</v>
      </c>
      <c r="J61" s="31">
        <v>1335.7249999999999</v>
      </c>
      <c r="K61" s="31">
        <v>1536.0837499999998</v>
      </c>
    </row>
    <row r="62" spans="1:11" x14ac:dyDescent="0.2">
      <c r="D62" t="s">
        <v>56</v>
      </c>
      <c r="F62">
        <v>0.5</v>
      </c>
      <c r="G62">
        <v>0.25</v>
      </c>
      <c r="H62">
        <v>0.25</v>
      </c>
      <c r="I62" s="4">
        <v>0.15</v>
      </c>
      <c r="J62">
        <v>0.15</v>
      </c>
      <c r="K62">
        <v>0.11</v>
      </c>
    </row>
  </sheetData>
  <mergeCells count="3">
    <mergeCell ref="A45:A46"/>
    <mergeCell ref="A47:A49"/>
    <mergeCell ref="A51:C5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FD63-E86E-43DA-9728-B3F0761CB7CC}">
  <dimension ref="A1:D11"/>
  <sheetViews>
    <sheetView zoomScale="145" zoomScaleNormal="145" workbookViewId="0">
      <selection activeCell="B11" sqref="B11"/>
    </sheetView>
  </sheetViews>
  <sheetFormatPr defaultRowHeight="14.25" x14ac:dyDescent="0.2"/>
  <cols>
    <col min="1" max="1" width="40.875" customWidth="1"/>
    <col min="2" max="3" width="21" bestFit="1" customWidth="1"/>
  </cols>
  <sheetData>
    <row r="1" spans="1:4" x14ac:dyDescent="0.2">
      <c r="B1" t="s">
        <v>29</v>
      </c>
      <c r="C1" s="5" t="s">
        <v>30</v>
      </c>
    </row>
    <row r="2" spans="1:4" x14ac:dyDescent="0.2">
      <c r="A2" t="s">
        <v>35</v>
      </c>
      <c r="B2" s="5">
        <v>0.85</v>
      </c>
      <c r="C2" s="5">
        <v>0.95</v>
      </c>
    </row>
    <row r="3" spans="1:4" x14ac:dyDescent="0.2">
      <c r="A3" t="s">
        <v>31</v>
      </c>
      <c r="B3" s="5">
        <v>0.7</v>
      </c>
      <c r="C3" s="5">
        <v>0.75</v>
      </c>
    </row>
    <row r="4" spans="1:4" x14ac:dyDescent="0.2">
      <c r="A4" t="s">
        <v>33</v>
      </c>
      <c r="B4" s="7">
        <v>5.2999999999999999E-2</v>
      </c>
      <c r="C4" s="7">
        <v>5.2999999999999999E-2</v>
      </c>
    </row>
    <row r="5" spans="1:4" x14ac:dyDescent="0.2">
      <c r="A5" t="s">
        <v>32</v>
      </c>
      <c r="B5" s="5">
        <v>0.52</v>
      </c>
      <c r="C5" s="5">
        <v>0.52</v>
      </c>
    </row>
    <row r="6" spans="1:4" x14ac:dyDescent="0.2">
      <c r="A6" t="s">
        <v>34</v>
      </c>
      <c r="B6" s="6">
        <f>B5*B4*B2</f>
        <v>2.3425999999999999E-2</v>
      </c>
      <c r="C6" s="6">
        <f>C5*C4*C2</f>
        <v>2.6182E-2</v>
      </c>
    </row>
    <row r="7" spans="1:4" x14ac:dyDescent="0.2">
      <c r="A7" t="s">
        <v>36</v>
      </c>
      <c r="B7" s="6">
        <f>B6*B2/B3</f>
        <v>2.8445857142857144E-2</v>
      </c>
      <c r="C7" s="6">
        <f>C6*C2/C3</f>
        <v>3.3163866666666666E-2</v>
      </c>
    </row>
    <row r="8" spans="1:4" x14ac:dyDescent="0.2">
      <c r="A8" t="s">
        <v>37</v>
      </c>
      <c r="B8" s="3">
        <v>1.2</v>
      </c>
      <c r="C8" s="3">
        <v>2</v>
      </c>
      <c r="D8" t="s">
        <v>39</v>
      </c>
    </row>
    <row r="9" spans="1:4" x14ac:dyDescent="0.2">
      <c r="A9" t="s">
        <v>38</v>
      </c>
      <c r="B9" s="8">
        <f>B7*B8</f>
        <v>3.4135028571428569E-2</v>
      </c>
      <c r="C9" s="8">
        <f>C7*C8</f>
        <v>6.6327733333333333E-2</v>
      </c>
    </row>
    <row r="10" spans="1:4" x14ac:dyDescent="0.2">
      <c r="A10" t="s">
        <v>41</v>
      </c>
      <c r="B10" s="6">
        <f>(B9+C9)/2</f>
        <v>5.0231380952380951E-2</v>
      </c>
    </row>
    <row r="11" spans="1:4" x14ac:dyDescent="0.2">
      <c r="A11" t="s">
        <v>40</v>
      </c>
      <c r="B11" s="6">
        <f>B10/B2*B3</f>
        <v>4.1367019607843135E-2</v>
      </c>
      <c r="C11" s="6">
        <f>B10/C2*C3</f>
        <v>3.9656353383458645E-2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2026-05-26T12:26:43Z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004E1E82-33C8-4511-A9E7-2EA2464EEF5E</vt:lpwstr>
  </property>
</Properties>
</file>