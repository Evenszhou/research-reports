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\报告\科创芯片ETF报告\"/>
    </mc:Choice>
  </mc:AlternateContent>
  <xr:revisionPtr revIDLastSave="0" documentId="13_ncr:1_{EE75325E-A86D-491B-AB52-53A93FBC3E58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晶圆代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B8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D3" i="1"/>
  <c r="E3" i="1"/>
  <c r="F3" i="1"/>
  <c r="C3" i="1"/>
  <c r="H4" i="1"/>
  <c r="H5" i="1"/>
  <c r="H6" i="1"/>
  <c r="H7" i="1"/>
  <c r="H3" i="1"/>
</calcChain>
</file>

<file path=xl/sharedStrings.xml><?xml version="1.0" encoding="utf-8"?>
<sst xmlns="http://schemas.openxmlformats.org/spreadsheetml/2006/main" count="13" uniqueCount="13">
  <si>
    <t>消费电子</t>
    <phoneticPr fontId="2" type="noConversion"/>
  </si>
  <si>
    <t>数据中心</t>
    <phoneticPr fontId="2" type="noConversion"/>
  </si>
  <si>
    <t>汽车电子</t>
    <phoneticPr fontId="2" type="noConversion"/>
  </si>
  <si>
    <t>IOT</t>
    <phoneticPr fontId="2" type="noConversion"/>
  </si>
  <si>
    <t>其他</t>
    <phoneticPr fontId="2" type="noConversion"/>
  </si>
  <si>
    <t>2026E</t>
    <phoneticPr fontId="2" type="noConversion"/>
  </si>
  <si>
    <t>2027E</t>
    <phoneticPr fontId="2" type="noConversion"/>
  </si>
  <si>
    <t>2028E</t>
    <phoneticPr fontId="2" type="noConversion"/>
  </si>
  <si>
    <t>2029E</t>
    <phoneticPr fontId="2" type="noConversion"/>
  </si>
  <si>
    <t>2030E</t>
    <phoneticPr fontId="2" type="noConversion"/>
  </si>
  <si>
    <t>CAGR</t>
    <phoneticPr fontId="2" type="noConversion"/>
  </si>
  <si>
    <t>kimi测算</t>
    <phoneticPr fontId="2" type="noConversion"/>
  </si>
  <si>
    <t>总计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</si>
</sst>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0" fontId="0" fillId="0" borderId="0" xfId="1" applyNumberFormat="1" applyFont="1" applyAlignment="1"/>
    <xf numFmtId="1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8" sqref="H8"/>
    </sheetView>
  </sheetViews>
  <sheetFormatPr defaultRowHeight="14.25" x14ac:dyDescent="0.2"/>
  <sheetData>
    <row r="1" spans="1:8" x14ac:dyDescent="0.2">
      <c r="B1">
        <v>2025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2">
      <c r="B2">
        <v>0</v>
      </c>
      <c r="C2">
        <v>1</v>
      </c>
      <c r="D2">
        <v>2</v>
      </c>
      <c r="E2">
        <v>3</v>
      </c>
      <c r="F2">
        <v>4</v>
      </c>
      <c r="G2">
        <v>5</v>
      </c>
    </row>
    <row r="3" spans="1:8" x14ac:dyDescent="0.2">
      <c r="A3" t="s">
        <v>0</v>
      </c>
      <c r="B3">
        <v>450</v>
      </c>
      <c r="C3" s="2">
        <f>$B3*(1+$H3)^C$2</f>
        <v>463.20227073601149</v>
      </c>
      <c r="D3" s="2">
        <f t="shared" ref="D3:F7" si="0">$B3*(1+$H3)^D$2</f>
        <v>476.79187469999391</v>
      </c>
      <c r="E3" s="2">
        <f t="shared" si="0"/>
        <v>490.780175621149</v>
      </c>
      <c r="F3" s="2">
        <f t="shared" si="0"/>
        <v>505.178870622077</v>
      </c>
      <c r="G3">
        <v>520</v>
      </c>
      <c r="H3" s="1">
        <f>(G3/B3)^(1/5)-1</f>
        <v>2.9338379413358817E-2</v>
      </c>
    </row>
    <row r="4" spans="1:8" x14ac:dyDescent="0.2">
      <c r="A4" t="s">
        <v>1</v>
      </c>
      <c r="B4">
        <v>380</v>
      </c>
      <c r="C4" s="2">
        <f t="shared" ref="C4:C7" si="1">$B4*(1+$H4)^C$2</f>
        <v>446.38609976955109</v>
      </c>
      <c r="D4" s="2">
        <f t="shared" si="0"/>
        <v>524.36986859860951</v>
      </c>
      <c r="E4" s="2">
        <f t="shared" si="0"/>
        <v>615.97742231685606</v>
      </c>
      <c r="F4" s="2">
        <f t="shared" si="0"/>
        <v>723.5888397213763</v>
      </c>
      <c r="G4">
        <v>850</v>
      </c>
      <c r="H4" s="1">
        <f t="shared" ref="H4:H7" si="2">(G4/B4)^(1/5)-1</f>
        <v>0.17470026255145021</v>
      </c>
    </row>
    <row r="5" spans="1:8" x14ac:dyDescent="0.2">
      <c r="A5" t="s">
        <v>2</v>
      </c>
      <c r="B5">
        <v>120</v>
      </c>
      <c r="C5" s="2">
        <f t="shared" si="1"/>
        <v>136.6754662305479</v>
      </c>
      <c r="D5" s="2">
        <f t="shared" si="0"/>
        <v>155.66819224448034</v>
      </c>
      <c r="E5" s="2">
        <f t="shared" si="0"/>
        <v>177.30018960234091</v>
      </c>
      <c r="F5" s="2">
        <f t="shared" si="0"/>
        <v>201.93821730553736</v>
      </c>
      <c r="G5">
        <v>230</v>
      </c>
      <c r="H5" s="1">
        <f t="shared" si="2"/>
        <v>0.13896221858789914</v>
      </c>
    </row>
    <row r="6" spans="1:8" x14ac:dyDescent="0.2">
      <c r="A6" t="s">
        <v>3</v>
      </c>
      <c r="B6">
        <v>180</v>
      </c>
      <c r="C6" s="2">
        <f t="shared" si="1"/>
        <v>196.62992354526713</v>
      </c>
      <c r="D6" s="2">
        <f t="shared" si="0"/>
        <v>214.79626018565332</v>
      </c>
      <c r="E6" s="2">
        <f t="shared" si="0"/>
        <v>234.64095676730176</v>
      </c>
      <c r="F6" s="2">
        <f t="shared" si="0"/>
        <v>256.31907438746043</v>
      </c>
      <c r="G6">
        <v>280</v>
      </c>
      <c r="H6" s="1">
        <f t="shared" si="2"/>
        <v>9.2388464140372939E-2</v>
      </c>
    </row>
    <row r="7" spans="1:8" x14ac:dyDescent="0.2">
      <c r="A7" t="s">
        <v>4</v>
      </c>
      <c r="B7">
        <v>120</v>
      </c>
      <c r="C7" s="2">
        <f t="shared" si="1"/>
        <v>128.6574031081021</v>
      </c>
      <c r="D7" s="2">
        <f t="shared" si="0"/>
        <v>137.93939478767237</v>
      </c>
      <c r="E7" s="2">
        <f t="shared" si="0"/>
        <v>147.89103599737669</v>
      </c>
      <c r="F7" s="2">
        <f t="shared" si="0"/>
        <v>158.56063861991112</v>
      </c>
      <c r="G7">
        <v>170</v>
      </c>
      <c r="H7" s="1">
        <f t="shared" si="2"/>
        <v>7.2145025900850923E-2</v>
      </c>
    </row>
    <row r="8" spans="1:8" x14ac:dyDescent="0.2">
      <c r="A8" t="s">
        <v>12</v>
      </c>
      <c r="B8" s="2">
        <f>SUM(B3:B7)</f>
        <v>1250</v>
      </c>
      <c r="C8" s="2">
        <f t="shared" ref="C8:G8" si="3">SUM(C3:C7)</f>
        <v>1371.5511633894796</v>
      </c>
      <c r="D8" s="2">
        <f t="shared" si="3"/>
        <v>1509.5655905164094</v>
      </c>
      <c r="E8" s="2">
        <f t="shared" si="3"/>
        <v>1666.5897803050245</v>
      </c>
      <c r="F8" s="2">
        <f t="shared" si="3"/>
        <v>1845.5856406563621</v>
      </c>
      <c r="G8" s="2">
        <f t="shared" si="3"/>
        <v>2050</v>
      </c>
    </row>
    <row r="9" spans="1:8" x14ac:dyDescent="0.2">
      <c r="A9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晶圆代工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zhouzijun</dc:creator>
  <cp:lastModifiedBy>张曦瑾</cp:lastModifiedBy>
  <dcterms:created xsi:type="dcterms:W3CDTF">2015-06-05T18:19:34Z</dcterms:created>
  <dcterms:modified xsi:type="dcterms:W3CDTF">2026-06-05T09:51:36Z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7359241E-BB44-4496-96AA-AFCC9C54FB87</vt:lpwstr>
  </property>
</Properties>
</file>