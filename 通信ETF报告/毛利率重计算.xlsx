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周子珺\报告\通信ETF报告\"/>
    </mc:Choice>
  </mc:AlternateContent>
  <xr:revisionPtr revIDLastSave="0" documentId="8_{61152089-C2B9-4DFA-94DA-79498B09BB17}" xr6:coauthVersionLast="47" xr6:coauthVersionMax="47" xr10:uidLastSave="{00000000-0000-0000-0000-000000000000}"/>
  <bookViews>
    <workbookView xWindow="32970" yWindow="5385" windowWidth="27960" windowHeight="11295" xr2:uid="{399A2A1E-3F52-4504-A48E-D6948B54B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L7" i="1"/>
  <c r="K7" i="1"/>
  <c r="K8" i="1"/>
  <c r="K9" i="1"/>
  <c r="J7" i="1"/>
  <c r="L9" i="1"/>
  <c r="K3" i="1"/>
  <c r="K2" i="1"/>
  <c r="B7" i="1"/>
  <c r="C7" i="1"/>
  <c r="D7" i="1"/>
  <c r="E7" i="1"/>
  <c r="F7" i="1"/>
  <c r="G7" i="1"/>
  <c r="H7" i="1"/>
  <c r="I7" i="1"/>
  <c r="C8" i="1"/>
  <c r="D8" i="1"/>
  <c r="E8" i="1"/>
  <c r="F8" i="1"/>
  <c r="G8" i="1"/>
  <c r="H8" i="1"/>
  <c r="I8" i="1"/>
  <c r="J8" i="1"/>
  <c r="B8" i="1"/>
  <c r="C14" i="1"/>
  <c r="D14" i="1"/>
  <c r="E14" i="1"/>
  <c r="G14" i="1"/>
  <c r="H14" i="1"/>
  <c r="I14" i="1"/>
  <c r="J14" i="1"/>
  <c r="B14" i="1"/>
  <c r="K14" i="1" s="1"/>
  <c r="C6" i="1"/>
  <c r="D6" i="1"/>
  <c r="E6" i="1"/>
  <c r="F6" i="1"/>
  <c r="G6" i="1"/>
  <c r="H6" i="1"/>
  <c r="I6" i="1"/>
  <c r="J6" i="1"/>
  <c r="B6" i="1"/>
  <c r="F12" i="1"/>
  <c r="F14" i="1" s="1"/>
  <c r="K6" i="1" l="1"/>
</calcChain>
</file>

<file path=xl/sharedStrings.xml><?xml version="1.0" encoding="utf-8"?>
<sst xmlns="http://schemas.openxmlformats.org/spreadsheetml/2006/main" count="21" uniqueCount="21">
  <si>
    <t>2025毛利率</t>
    <phoneticPr fontId="1" type="noConversion"/>
  </si>
  <si>
    <t>2024毛利率</t>
    <phoneticPr fontId="1" type="noConversion"/>
  </si>
  <si>
    <t>光模块及器件</t>
  </si>
  <si>
    <t>通信PCB\&amp;CLL</t>
  </si>
  <si>
    <t>光纤光缆</t>
  </si>
  <si>
    <t>激光行业</t>
  </si>
  <si>
    <t>IDC</t>
  </si>
  <si>
    <t>通信芯片</t>
  </si>
  <si>
    <t>网络设备商</t>
  </si>
  <si>
    <t>基础电信运营商</t>
  </si>
  <si>
    <t>物联网</t>
  </si>
  <si>
    <t>2026Q1毛利率(%)</t>
  </si>
  <si>
    <t>2025Q1毛利率</t>
    <phoneticPr fontId="1" type="noConversion"/>
  </si>
  <si>
    <t>2025毛利率YOY</t>
    <phoneticPr fontId="1" type="noConversion"/>
  </si>
  <si>
    <t>2026Q1毛利率YOY(%)</t>
    <phoneticPr fontId="1" type="noConversion"/>
  </si>
  <si>
    <t>2025年营收</t>
    <phoneticPr fontId="1" type="noConversion"/>
  </si>
  <si>
    <t>2024年营收</t>
    <phoneticPr fontId="1" type="noConversion"/>
  </si>
  <si>
    <t>2024利润情况</t>
    <phoneticPr fontId="1" type="noConversion"/>
  </si>
  <si>
    <t>2025利润情况</t>
    <phoneticPr fontId="1" type="noConversion"/>
  </si>
  <si>
    <t>总营收</t>
    <phoneticPr fontId="1" type="noConversion"/>
  </si>
  <si>
    <t>整体毛利率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</si>
</sst>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0.00_);[Red]\(0.00\)"/>
    <numFmt numFmtId="184" formatCode="0.0000"/>
    <numFmt numFmtId="187" formatCode="0.00000000000000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180" fontId="0" fillId="0" borderId="0" xfId="0" applyNumberFormat="1">
      <alignment vertical="center"/>
    </xf>
    <xf numFmtId="184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2" fillId="0" borderId="3" xfId="0" applyFont="1" applyFill="1" applyBorder="1">
      <alignment vertical="center"/>
    </xf>
    <xf numFmtId="18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9914-44C0-495A-877B-37CF75C91EA8}">
  <dimension ref="A1:L14"/>
  <sheetViews>
    <sheetView tabSelected="1" workbookViewId="0">
      <selection activeCell="L4" sqref="L4"/>
    </sheetView>
  </sheetViews>
  <sheetFormatPr defaultRowHeight="14.25" x14ac:dyDescent="0.2"/>
  <cols>
    <col min="1" max="1" width="18.375" customWidth="1"/>
    <col min="2" max="10" width="12.5" customWidth="1"/>
    <col min="12" max="12" width="22.625" bestFit="1" customWidth="1"/>
  </cols>
  <sheetData>
    <row r="1" spans="1:12" ht="15" thickBot="1" x14ac:dyDescent="0.25">
      <c r="B1" s="1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6" t="s">
        <v>19</v>
      </c>
    </row>
    <row r="2" spans="1:12" ht="15" thickBot="1" x14ac:dyDescent="0.25">
      <c r="A2" t="s">
        <v>16</v>
      </c>
      <c r="B2">
        <v>681.82</v>
      </c>
      <c r="C2">
        <v>908.34</v>
      </c>
      <c r="D2">
        <v>1275.6099999999999</v>
      </c>
      <c r="E2">
        <v>259.55</v>
      </c>
      <c r="F2">
        <v>369.33</v>
      </c>
      <c r="G2">
        <v>59.22</v>
      </c>
      <c r="H2">
        <v>8681.43</v>
      </c>
      <c r="I2">
        <v>19539.169999999998</v>
      </c>
      <c r="J2">
        <v>353.59</v>
      </c>
      <c r="K2">
        <f>SUM(B2:J2)</f>
        <v>32128.059999999998</v>
      </c>
    </row>
    <row r="3" spans="1:12" ht="15" thickBot="1" x14ac:dyDescent="0.25">
      <c r="A3" t="s">
        <v>15</v>
      </c>
      <c r="B3" s="1">
        <v>1111.95</v>
      </c>
      <c r="C3" s="2">
        <v>1273.0899999999999</v>
      </c>
      <c r="D3" s="2">
        <v>1414.36</v>
      </c>
      <c r="E3" s="2">
        <v>311.89999999999998</v>
      </c>
      <c r="F3" s="2">
        <v>362.25</v>
      </c>
      <c r="G3" s="2">
        <v>65.14</v>
      </c>
      <c r="H3" s="2">
        <v>11936.96</v>
      </c>
      <c r="I3" s="2">
        <v>19663.349999999999</v>
      </c>
      <c r="J3" s="2">
        <v>416.4</v>
      </c>
      <c r="K3">
        <f>SUM(B3:J3)</f>
        <v>36555.4</v>
      </c>
    </row>
    <row r="4" spans="1:12" ht="15" thickBot="1" x14ac:dyDescent="0.25">
      <c r="A4" t="s">
        <v>1</v>
      </c>
      <c r="B4">
        <v>33.17</v>
      </c>
      <c r="C4">
        <v>21.31</v>
      </c>
      <c r="D4">
        <v>18.399999999999999</v>
      </c>
      <c r="E4">
        <v>35.85</v>
      </c>
      <c r="F4">
        <v>30.47</v>
      </c>
      <c r="G4">
        <v>37.79</v>
      </c>
      <c r="H4">
        <v>24.78</v>
      </c>
      <c r="I4">
        <v>27.03</v>
      </c>
      <c r="J4">
        <v>30.86</v>
      </c>
    </row>
    <row r="5" spans="1:12" ht="15" thickBot="1" x14ac:dyDescent="0.25">
      <c r="A5" t="s">
        <v>0</v>
      </c>
      <c r="B5" s="1">
        <v>36.85</v>
      </c>
      <c r="C5" s="2">
        <v>24.7</v>
      </c>
      <c r="D5" s="2">
        <v>18.72</v>
      </c>
      <c r="E5" s="2">
        <v>37.49</v>
      </c>
      <c r="F5" s="2">
        <v>31.43</v>
      </c>
      <c r="G5" s="2">
        <v>40.56</v>
      </c>
      <c r="H5" s="2">
        <v>21.98</v>
      </c>
      <c r="I5" s="2">
        <v>27.16</v>
      </c>
      <c r="J5" s="2">
        <v>30.28</v>
      </c>
    </row>
    <row r="6" spans="1:12" x14ac:dyDescent="0.2">
      <c r="A6" t="s">
        <v>13</v>
      </c>
      <c r="B6">
        <f>B5-B4</f>
        <v>3.6799999999999997</v>
      </c>
      <c r="C6">
        <f t="shared" ref="C6:J6" si="0">C5-C4</f>
        <v>3.3900000000000006</v>
      </c>
      <c r="D6">
        <f t="shared" si="0"/>
        <v>0.32000000000000028</v>
      </c>
      <c r="E6">
        <f t="shared" si="0"/>
        <v>1.6400000000000006</v>
      </c>
      <c r="F6">
        <f t="shared" si="0"/>
        <v>0.96000000000000085</v>
      </c>
      <c r="G6">
        <f t="shared" si="0"/>
        <v>2.7700000000000031</v>
      </c>
      <c r="H6">
        <f t="shared" si="0"/>
        <v>-2.8000000000000007</v>
      </c>
      <c r="I6">
        <f t="shared" si="0"/>
        <v>0.12999999999999901</v>
      </c>
      <c r="J6">
        <f t="shared" si="0"/>
        <v>-0.57999999999999829</v>
      </c>
      <c r="K6">
        <f>MAX(B6:J6)</f>
        <v>3.6799999999999997</v>
      </c>
      <c r="L6" t="s">
        <v>20</v>
      </c>
    </row>
    <row r="7" spans="1:12" x14ac:dyDescent="0.2">
      <c r="A7" t="s">
        <v>17</v>
      </c>
      <c r="B7" s="5">
        <f>B4*B2/100</f>
        <v>226.15969400000003</v>
      </c>
      <c r="C7" s="5">
        <f t="shared" ref="C7:J8" si="1">C4*C2/100</f>
        <v>193.56725399999999</v>
      </c>
      <c r="D7" s="5">
        <f t="shared" si="1"/>
        <v>234.71223999999995</v>
      </c>
      <c r="E7" s="5">
        <f t="shared" si="1"/>
        <v>93.048675000000003</v>
      </c>
      <c r="F7" s="5">
        <f t="shared" si="1"/>
        <v>112.534851</v>
      </c>
      <c r="G7" s="5">
        <f t="shared" si="1"/>
        <v>22.379238000000001</v>
      </c>
      <c r="H7" s="5">
        <f t="shared" si="1"/>
        <v>2151.2583540000001</v>
      </c>
      <c r="I7" s="5">
        <f t="shared" si="1"/>
        <v>5281.4376509999993</v>
      </c>
      <c r="J7" s="5">
        <f>J4*J2/100</f>
        <v>109.11787399999999</v>
      </c>
      <c r="K7" s="5">
        <f>SUM(B7:J7)</f>
        <v>8424.2158309999977</v>
      </c>
      <c r="L7" s="4">
        <f>K7/K2</f>
        <v>0.26220742338628594</v>
      </c>
    </row>
    <row r="8" spans="1:12" x14ac:dyDescent="0.2">
      <c r="A8" t="s">
        <v>18</v>
      </c>
      <c r="B8" s="5">
        <f>B5*B3/100</f>
        <v>409.75357500000007</v>
      </c>
      <c r="C8" s="5">
        <f t="shared" si="1"/>
        <v>314.45322999999996</v>
      </c>
      <c r="D8" s="5">
        <f t="shared" si="1"/>
        <v>264.768192</v>
      </c>
      <c r="E8" s="5">
        <f t="shared" si="1"/>
        <v>116.93131</v>
      </c>
      <c r="F8" s="5">
        <f t="shared" si="1"/>
        <v>113.855175</v>
      </c>
      <c r="G8" s="5">
        <f t="shared" si="1"/>
        <v>26.420784000000005</v>
      </c>
      <c r="H8" s="5">
        <f t="shared" si="1"/>
        <v>2623.7438079999997</v>
      </c>
      <c r="I8" s="5">
        <f t="shared" si="1"/>
        <v>5340.5658599999997</v>
      </c>
      <c r="J8" s="5">
        <f t="shared" si="1"/>
        <v>126.08592</v>
      </c>
      <c r="K8" s="5">
        <f>SUM(B8:J8)</f>
        <v>9336.5778539999992</v>
      </c>
      <c r="L8" s="4">
        <f>K8/K3</f>
        <v>0.25540899166744169</v>
      </c>
    </row>
    <row r="9" spans="1:12" x14ac:dyDescent="0.2">
      <c r="K9">
        <f>K8/K7-1</f>
        <v>0.10830230864250057</v>
      </c>
      <c r="L9" s="7">
        <f>L8-L7</f>
        <v>-6.7984317188442556E-3</v>
      </c>
    </row>
    <row r="12" spans="1:12" ht="15" thickBot="1" x14ac:dyDescent="0.25">
      <c r="A12" t="s">
        <v>12</v>
      </c>
      <c r="B12" s="3">
        <v>34.65</v>
      </c>
      <c r="C12" s="3">
        <v>23.88</v>
      </c>
      <c r="D12">
        <v>18.38</v>
      </c>
      <c r="E12">
        <v>35.4</v>
      </c>
      <c r="F12" s="3">
        <f>31.76</f>
        <v>31.76</v>
      </c>
      <c r="G12">
        <v>38.86</v>
      </c>
      <c r="H12">
        <v>23.79</v>
      </c>
      <c r="I12">
        <v>27.17</v>
      </c>
      <c r="J12">
        <v>31.19</v>
      </c>
    </row>
    <row r="13" spans="1:12" ht="15" thickBot="1" x14ac:dyDescent="0.25">
      <c r="A13" s="1" t="s">
        <v>11</v>
      </c>
      <c r="B13" s="2">
        <v>41.29</v>
      </c>
      <c r="C13" s="2">
        <v>25.53</v>
      </c>
      <c r="D13" s="2">
        <v>23.86</v>
      </c>
      <c r="E13" s="2">
        <v>37.58</v>
      </c>
      <c r="F13" s="2">
        <v>30.96</v>
      </c>
      <c r="G13" s="2">
        <v>41.58</v>
      </c>
      <c r="H13" s="2">
        <v>21.72</v>
      </c>
      <c r="I13" s="2">
        <v>25.73</v>
      </c>
      <c r="J13" s="2">
        <v>30.24</v>
      </c>
    </row>
    <row r="14" spans="1:12" x14ac:dyDescent="0.2">
      <c r="A14" t="s">
        <v>14</v>
      </c>
      <c r="B14" s="3">
        <f>B13-B12</f>
        <v>6.6400000000000006</v>
      </c>
      <c r="C14" s="3">
        <f t="shared" ref="C14:J14" si="2">C13-C12</f>
        <v>1.6500000000000021</v>
      </c>
      <c r="D14" s="3">
        <f t="shared" si="2"/>
        <v>5.48</v>
      </c>
      <c r="E14" s="3">
        <f t="shared" si="2"/>
        <v>2.1799999999999997</v>
      </c>
      <c r="F14" s="3">
        <f t="shared" si="2"/>
        <v>-0.80000000000000071</v>
      </c>
      <c r="G14" s="3">
        <f t="shared" si="2"/>
        <v>2.7199999999999989</v>
      </c>
      <c r="H14" s="3">
        <f t="shared" si="2"/>
        <v>-2.0700000000000003</v>
      </c>
      <c r="I14" s="3">
        <f t="shared" si="2"/>
        <v>-1.4400000000000013</v>
      </c>
      <c r="J14" s="3">
        <f t="shared" si="2"/>
        <v>-0.95000000000000284</v>
      </c>
      <c r="K14">
        <f>MAX(B14:J14)</f>
        <v>6.6400000000000006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张曦瑾</dc:creator>
  <cp:lastModifiedBy>张曦瑾</cp:lastModifiedBy>
  <dcterms:created xsi:type="dcterms:W3CDTF">2026-06-02T06:03:06Z</dcterms:created>
  <dcterms:modified xsi:type="dcterms:W3CDTF">2026-06-02T09:14:03Z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293C96DA-22DA-467F-B498-27F2A92AB0A9</vt:lpwstr>
  </property>
</Properties>
</file>